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Excel-Data-Analysis-Practice-main\"/>
    </mc:Choice>
  </mc:AlternateContent>
  <xr:revisionPtr revIDLastSave="0" documentId="13_ncr:1_{0B4C4B8A-3F3D-4B61-910B-942F6F314D3C}" xr6:coauthVersionLast="47" xr6:coauthVersionMax="47" xr10:uidLastSave="{00000000-0000-0000-0000-000000000000}"/>
  <bookViews>
    <workbookView xWindow="-110" yWindow="-110" windowWidth="19420" windowHeight="10420" activeTab="2" xr2:uid="{C0893FBD-34B3-420E-B0D6-EC330180DDEA}"/>
  </bookViews>
  <sheets>
    <sheet name="SalesData" sheetId="3" r:id="rId1"/>
    <sheet name="Pivot_table" sheetId="4" r:id="rId2"/>
    <sheet name="Dashbaord" sheetId="8"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3" l="1"/>
  <c r="K6" i="3"/>
  <c r="K4" i="3"/>
  <c r="K2" i="3"/>
  <c r="G2" i="3"/>
  <c r="F2" i="3"/>
  <c r="H2" i="3" s="1"/>
  <c r="G51" i="3"/>
  <c r="F51" i="3"/>
  <c r="H51" i="3" s="1"/>
  <c r="G50" i="3"/>
  <c r="F50" i="3"/>
  <c r="H50" i="3" s="1"/>
  <c r="G49" i="3"/>
  <c r="F49" i="3"/>
  <c r="H49" i="3" s="1"/>
  <c r="G48" i="3"/>
  <c r="F48" i="3"/>
  <c r="H48" i="3" s="1"/>
  <c r="G47" i="3"/>
  <c r="F47" i="3"/>
  <c r="H47" i="3" s="1"/>
  <c r="G46" i="3"/>
  <c r="F46" i="3"/>
  <c r="H46" i="3" s="1"/>
  <c r="G45" i="3"/>
  <c r="F45" i="3"/>
  <c r="H45" i="3" s="1"/>
  <c r="G44" i="3"/>
  <c r="F44" i="3"/>
  <c r="H44" i="3" s="1"/>
  <c r="G43" i="3"/>
  <c r="F43" i="3"/>
  <c r="H43" i="3" s="1"/>
  <c r="G42" i="3"/>
  <c r="F42" i="3"/>
  <c r="H42" i="3" s="1"/>
  <c r="G41" i="3"/>
  <c r="F41" i="3"/>
  <c r="H41" i="3" s="1"/>
  <c r="G40" i="3"/>
  <c r="F40" i="3"/>
  <c r="H40" i="3" s="1"/>
  <c r="G39" i="3"/>
  <c r="F39" i="3"/>
  <c r="H39" i="3" s="1"/>
  <c r="G38" i="3"/>
  <c r="F38" i="3"/>
  <c r="H38" i="3" s="1"/>
  <c r="G37" i="3"/>
  <c r="F37" i="3"/>
  <c r="H37" i="3" s="1"/>
  <c r="G36" i="3"/>
  <c r="F36" i="3"/>
  <c r="H36" i="3" s="1"/>
  <c r="G35" i="3"/>
  <c r="F35" i="3"/>
  <c r="H35" i="3" s="1"/>
  <c r="G34" i="3"/>
  <c r="F34" i="3"/>
  <c r="H34" i="3" s="1"/>
  <c r="G33" i="3"/>
  <c r="F33" i="3"/>
  <c r="H33" i="3" s="1"/>
  <c r="I33" i="3" s="1"/>
  <c r="G32" i="3"/>
  <c r="F32" i="3"/>
  <c r="H32" i="3" s="1"/>
  <c r="G31" i="3"/>
  <c r="F31" i="3"/>
  <c r="H31" i="3" s="1"/>
  <c r="G30" i="3"/>
  <c r="F30" i="3"/>
  <c r="H30" i="3" s="1"/>
  <c r="G29" i="3"/>
  <c r="F29" i="3"/>
  <c r="H29" i="3" s="1"/>
  <c r="G28" i="3"/>
  <c r="F28" i="3"/>
  <c r="H28" i="3" s="1"/>
  <c r="I28" i="3" s="1"/>
  <c r="G27" i="3"/>
  <c r="F27" i="3"/>
  <c r="H27" i="3" s="1"/>
  <c r="G26" i="3"/>
  <c r="F26" i="3"/>
  <c r="H26" i="3" s="1"/>
  <c r="I26" i="3" s="1"/>
  <c r="G25" i="3"/>
  <c r="F25" i="3"/>
  <c r="H25" i="3" s="1"/>
  <c r="I25" i="3" s="1"/>
  <c r="G24" i="3"/>
  <c r="F24" i="3"/>
  <c r="H24" i="3" s="1"/>
  <c r="G23" i="3"/>
  <c r="F23" i="3"/>
  <c r="H23" i="3" s="1"/>
  <c r="G22" i="3"/>
  <c r="F22" i="3"/>
  <c r="H22" i="3" s="1"/>
  <c r="G21" i="3"/>
  <c r="F21" i="3"/>
  <c r="H21" i="3" s="1"/>
  <c r="G20" i="3"/>
  <c r="F20" i="3"/>
  <c r="H20" i="3" s="1"/>
  <c r="G19" i="3"/>
  <c r="F19" i="3"/>
  <c r="H19" i="3" s="1"/>
  <c r="G18" i="3"/>
  <c r="F18" i="3"/>
  <c r="H18" i="3" s="1"/>
  <c r="G17" i="3"/>
  <c r="F17" i="3"/>
  <c r="H17" i="3" s="1"/>
  <c r="G16" i="3"/>
  <c r="F16" i="3"/>
  <c r="H16" i="3" s="1"/>
  <c r="G15" i="3"/>
  <c r="F15" i="3"/>
  <c r="H15" i="3" s="1"/>
  <c r="G14" i="3"/>
  <c r="F14" i="3"/>
  <c r="H14" i="3" s="1"/>
  <c r="G13" i="3"/>
  <c r="F13" i="3"/>
  <c r="H13" i="3" s="1"/>
  <c r="G12" i="3"/>
  <c r="F12" i="3"/>
  <c r="H12" i="3" s="1"/>
  <c r="G11" i="3"/>
  <c r="F11" i="3"/>
  <c r="H11" i="3" s="1"/>
  <c r="G10" i="3"/>
  <c r="F10" i="3"/>
  <c r="H10" i="3" s="1"/>
  <c r="G9" i="3"/>
  <c r="F9" i="3"/>
  <c r="H9" i="3" s="1"/>
  <c r="G8" i="3"/>
  <c r="F8" i="3"/>
  <c r="H8" i="3" s="1"/>
  <c r="G7" i="3"/>
  <c r="F7" i="3"/>
  <c r="H7" i="3" s="1"/>
  <c r="G6" i="3"/>
  <c r="F6" i="3"/>
  <c r="H6" i="3" s="1"/>
  <c r="G5" i="3"/>
  <c r="F5" i="3"/>
  <c r="H5" i="3" s="1"/>
  <c r="G4" i="3"/>
  <c r="F4" i="3"/>
  <c r="H4" i="3" s="1"/>
  <c r="G3" i="3"/>
  <c r="F3" i="3"/>
  <c r="H3" i="3" s="1"/>
  <c r="I4" i="3" l="1"/>
  <c r="I34" i="3"/>
  <c r="I36" i="3"/>
  <c r="I42" i="3"/>
  <c r="I44" i="3"/>
  <c r="I50" i="3"/>
  <c r="I2" i="3"/>
  <c r="I17" i="3"/>
  <c r="I20" i="3"/>
  <c r="I10" i="3"/>
  <c r="I12" i="3"/>
  <c r="I18" i="3"/>
  <c r="I41" i="3"/>
  <c r="I49" i="3"/>
  <c r="I5" i="3"/>
  <c r="I7" i="3"/>
  <c r="I16" i="3"/>
  <c r="I21" i="3"/>
  <c r="I23" i="3"/>
  <c r="I32" i="3"/>
  <c r="I37" i="3"/>
  <c r="I39" i="3"/>
  <c r="I48" i="3"/>
  <c r="I8" i="3"/>
  <c r="I9" i="3"/>
  <c r="I13" i="3"/>
  <c r="I15" i="3"/>
  <c r="I24" i="3"/>
  <c r="I29" i="3"/>
  <c r="I31" i="3"/>
  <c r="I40" i="3"/>
  <c r="I45" i="3"/>
  <c r="I47" i="3"/>
  <c r="I3" i="3"/>
  <c r="I6" i="3"/>
  <c r="I11" i="3"/>
  <c r="I14" i="3"/>
  <c r="I19" i="3"/>
  <c r="I22" i="3"/>
  <c r="I27" i="3"/>
  <c r="I30" i="3"/>
  <c r="I35" i="3"/>
  <c r="I38" i="3"/>
  <c r="I43" i="3"/>
  <c r="I46" i="3"/>
  <c r="I51" i="3"/>
</calcChain>
</file>

<file path=xl/sharedStrings.xml><?xml version="1.0" encoding="utf-8"?>
<sst xmlns="http://schemas.openxmlformats.org/spreadsheetml/2006/main" count="203" uniqueCount="37">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</sst>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_ &quot;Rs.&quot;\ * #,##0_ ;_ &quot;Rs.&quot;\ * \-#,##0_ ;_ &quot;Rs.&quot;\ * &quot;-&quot;_ ;_ @_ "/>
    <numFmt numFmtId="165" formatCode="##\,##,\ &quot;L&quot;"/>
    <numFmt numFmtId="166" formatCode="&quot;Rs.&quot;\ ##\,##,\ &quot;L&quot;"/>
  </numFmts>
  <fonts count="3" x14ac:knownFonts="1">
    <font>
      <sz val="11"/>
      <color theme="1"/>
      <name val="Calibri"/>
      <family val="2"/>
      <scheme val="minor"/>
    </font>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Border="1" applyAlignment="1">
      <alignment horizontal="center" vertical="center"/>
    </xf>
    <xf numFmtId="164" fontId="0" fillId="0" borderId="0" xfId="0" applyNumberFormat="1"/>
    <xf numFmtId="0" fontId="2" fillId="2" borderId="0" xfId="0" applyFont="1" applyFill="1" applyAlignment="1">
      <alignment horizontal="center"/>
    </xf>
    <xf numFmtId="0" fontId="0" fillId="0" borderId="0" xfId="0" applyAlignment="1">
      <alignment horizontal="center"/>
    </xf>
    <xf numFmtId="0" fontId="0" fillId="0" borderId="0" xfId="0" pivotButton="1"/>
    <xf numFmtId="0" fontId="0" fillId="0" borderId="0" xfId="0" applyNumberFormat="1"/>
    <xf numFmtId="165" fontId="0" fillId="0" borderId="0" xfId="0" applyNumberFormat="1"/>
    <xf numFmtId="166" fontId="0" fillId="0" borderId="0" xfId="0" applyNumberFormat="1"/>
    <xf numFmtId="43" fontId="0" fillId="0" borderId="0" xfId="2" applyFont="1" applyAlignment="1">
      <alignment horizontal="center"/>
    </xf>
  </cellXfs>
  <cellStyles count="3">
    <cellStyle name="Comma" xfId="2" builtinId="3"/>
    <cellStyle name="Currency [0]" xfId="1" builtinId="7"/>
    <cellStyle name="Normal" xfId="0" builtinId="0"/>
  </cellStyles>
  <dxfs count="155">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6" formatCode="&quot;Rs.&quot;\ ##\,##,\ &quot;L&quot;"/>
    </dxf>
    <dxf>
      <numFmt numFmtId="165" formatCode="##\,##,\ &quot;L&quot;"/>
    </dxf>
    <dxf>
      <numFmt numFmtId="166" formatCode="&quot;Rs.&quot;\ ##\,##,\ &quot;L&quot;"/>
    </dxf>
    <dxf>
      <numFmt numFmtId="166" formatCode="&quot;Rs.&quot;\ ##\,##,\ &quot;L&quot;"/>
    </dxf>
    <dxf>
      <numFmt numFmtId="166" formatCode="&quot;Rs.&quot;\ ##\,##,\ &quot;L&quot;"/>
    </dxf>
    <dxf>
      <numFmt numFmtId="166" formatCode="&quot;Rs.&quot;\ ##\,##,\ &quot;L&quot;"/>
    </dxf>
    <dxf>
      <numFmt numFmtId="166" formatCode="&quot;Rs.&quot;\ ##\,##,\ &quot;L&quot;"/>
    </dxf>
    <dxf>
      <numFmt numFmtId="166" formatCode="&quot;Rs.&quot;\ ##\,##,\ &quot;L&quot;"/>
    </dxf>
    <dxf>
      <numFmt numFmtId="166" formatCode="&quot;Rs.&quot;\ ##\,##,\ &quot;L&quot;"/>
    </dxf>
    <dxf>
      <numFmt numFmtId="166" formatCode="&quot;Rs.&quot;\ ##\,##,\ &quot;L&quot;"/>
    </dxf>
    <dxf>
      <numFmt numFmtId="166" formatCode="&quot;Rs.&quot;\ ##\,##,\ &quot;L&quot;"/>
    </dxf>
    <dxf>
      <numFmt numFmtId="165" formatCode="##\,##,\ &quot;L&quot;"/>
    </dxf>
    <dxf>
      <numFmt numFmtId="166" formatCode="&quot;Rs.&quot;\ ##\,##,\ &quot;L&quot;"/>
    </dxf>
    <dxf>
      <numFmt numFmtId="165" formatCode="##\,##,\ &quot;L&quot;"/>
    </dxf>
    <dxf>
      <numFmt numFmtId="165" formatCode="##\,##,\ &quot;L&quot;"/>
    </dxf>
    <dxf>
      <numFmt numFmtId="165" formatCode="##\,##,\ &quot;L&quot;"/>
    </dxf>
    <dxf>
      <numFmt numFmtId="165" formatCode="##\,##,\ &quot;L&quot;"/>
    </dxf>
    <dxf>
      <numFmt numFmtId="166" formatCode="&quot;Rs.&quot;\ ##\,##,\ &quot;L&quot;"/>
    </dxf>
    <dxf>
      <numFmt numFmtId="166" formatCode="&quot;Rs.&quot;\ ##\,##,\ &quot;L&quot;"/>
    </dxf>
    <dxf>
      <numFmt numFmtId="166" formatCode="&quot;Rs.&quot;\ ##\,##,\ &quot;L&quot;"/>
    </dxf>
    <dxf>
      <numFmt numFmtId="166" formatCode="&quot;Rs.&quot;\ ##\,##,\ &quot;L&quot;"/>
    </dxf>
    <dxf>
      <numFmt numFmtId="166" formatCode="&quot;Rs.&quot;\ ##\,##,\ &quot;L&quot;"/>
    </dxf>
    <dxf>
      <numFmt numFmtId="166" formatCode="&quot;Rs.&quot;\ ##\,##,\ &quot;L&quot;"/>
    </dxf>
    <dxf>
      <numFmt numFmtId="166" formatCode="&quot;Rs.&quot;\ ##\,##,\ &quot;L&quot;"/>
    </dxf>
    <dxf>
      <numFmt numFmtId="165" formatCode="##\,##,\ &quot;L&quot;"/>
    </dxf>
    <dxf>
      <numFmt numFmtId="164" formatCode="_ &quot;Rs.&quot;\ * #,##0_ ;_ &quot;Rs.&quot;\ * \-#,##0_ ;_ &quot;Rs.&quot;\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file.xlsx]Pivot_table!PivotTable4</c:name>
    <c:fmtId val="5"/>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2793987077761442E-2"/>
              <c:y val="-0.1217369364653930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2793987077761442E-2"/>
              <c:y val="-0.1217369364653930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4.2793987077761442E-2"/>
              <c:y val="-0.12173693646539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Pivot_table!$K$1</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Pt>
            <c:idx val="4"/>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0-47B0-4EF2-A607-8C17FD7B8029}"/>
              </c:ext>
            </c:extLst>
          </c:dPt>
          <c:dLbls>
            <c:dLbl>
              <c:idx val="4"/>
              <c:layout>
                <c:manualLayout>
                  <c:x val="-4.2793987077761442E-2"/>
                  <c:y val="-0.121736936465393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B0-4EF2-A607-8C17FD7B802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Pivot_table!$J$2:$J$9</c:f>
              <c:strCache>
                <c:ptCount val="7"/>
                <c:pt idx="0">
                  <c:v>Action Figure</c:v>
                </c:pt>
                <c:pt idx="1">
                  <c:v>Blender</c:v>
                </c:pt>
                <c:pt idx="2">
                  <c:v>Moisturizer</c:v>
                </c:pt>
                <c:pt idx="3">
                  <c:v>Novel</c:v>
                </c:pt>
                <c:pt idx="4">
                  <c:v>Smartphone</c:v>
                </c:pt>
                <c:pt idx="5">
                  <c:v>Sneakers</c:v>
                </c:pt>
                <c:pt idx="6">
                  <c:v>Tent</c:v>
                </c:pt>
              </c:strCache>
            </c:strRef>
          </c:cat>
          <c:val>
            <c:numRef>
              <c:f>Pivot_table!$K$2:$K$9</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1-47B0-4EF2-A607-8C17FD7B8029}"/>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11797776"/>
        <c:axId val="1411792368"/>
      </c:lineChart>
      <c:catAx>
        <c:axId val="14117977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11792368"/>
        <c:crosses val="autoZero"/>
        <c:auto val="1"/>
        <c:lblAlgn val="ctr"/>
        <c:lblOffset val="100"/>
        <c:noMultiLvlLbl val="0"/>
      </c:catAx>
      <c:valAx>
        <c:axId val="141179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11797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file.xlsx]Pivot_table!PivotTable1</c:name>
    <c:fmtId val="4"/>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6111111111111101"/>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333333333333333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5555555555555556"/>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0.15277777777777779"/>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333333333333333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22623949508288529"/>
              <c:y val="2.971084155058403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dLbl>
          <c:idx val="0"/>
          <c:layout>
            <c:manualLayout>
              <c:x val="-0.22105259174893394"/>
              <c:y val="0.1011331245490262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21144160949898025"/>
              <c:y val="-0.1123701383878070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0.1826086627491193"/>
              <c:y val="0.1067516314684166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Pivot_table!$B$1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A05-4D42-B397-3C41B2D16DD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A05-4D42-B397-3C41B2D16DD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A05-4D42-B397-3C41B2D16DD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1A05-4D42-B397-3C41B2D16DD2}"/>
              </c:ext>
            </c:extLst>
          </c:dPt>
          <c:dLbls>
            <c:dLbl>
              <c:idx val="0"/>
              <c:layout>
                <c:manualLayout>
                  <c:x val="0.21144160949898025"/>
                  <c:y val="-0.112370138387807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05-4D42-B397-3C41B2D16DD2}"/>
                </c:ext>
              </c:extLst>
            </c:dLbl>
            <c:dLbl>
              <c:idx val="1"/>
              <c:layout>
                <c:manualLayout>
                  <c:x val="0.1826086627491193"/>
                  <c:y val="0.10675163146841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05-4D42-B397-3C41B2D16DD2}"/>
                </c:ext>
              </c:extLst>
            </c:dLbl>
            <c:dLbl>
              <c:idx val="2"/>
              <c:layout>
                <c:manualLayout>
                  <c:x val="-0.22105259174893394"/>
                  <c:y val="0.101133124549026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05-4D42-B397-3C41B2D16DD2}"/>
                </c:ext>
              </c:extLst>
            </c:dLbl>
            <c:dLbl>
              <c:idx val="3"/>
              <c:layout>
                <c:manualLayout>
                  <c:x val="-0.22623949508288529"/>
                  <c:y val="2.97108415505840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05-4D42-B397-3C41B2D16DD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Pivot_table!$A$2:$A$6</c:f>
              <c:strCache>
                <c:ptCount val="4"/>
                <c:pt idx="0">
                  <c:v>East</c:v>
                </c:pt>
                <c:pt idx="1">
                  <c:v>North</c:v>
                </c:pt>
                <c:pt idx="2">
                  <c:v>South</c:v>
                </c:pt>
                <c:pt idx="3">
                  <c:v>West</c:v>
                </c:pt>
              </c:strCache>
            </c:strRef>
          </c:cat>
          <c:val>
            <c:numRef>
              <c:f>Pivot_table!$B$2:$B$6</c:f>
              <c:numCache>
                <c:formatCode>"Rs."\ ##\,##,\ "L"</c:formatCode>
                <c:ptCount val="4"/>
                <c:pt idx="0">
                  <c:v>3534400</c:v>
                </c:pt>
                <c:pt idx="1">
                  <c:v>2661400</c:v>
                </c:pt>
                <c:pt idx="2">
                  <c:v>2870600</c:v>
                </c:pt>
                <c:pt idx="3">
                  <c:v>3878100</c:v>
                </c:pt>
              </c:numCache>
            </c:numRef>
          </c:val>
          <c:extLst>
            <c:ext xmlns:c16="http://schemas.microsoft.com/office/drawing/2014/chart" uri="{C3380CC4-5D6E-409C-BE32-E72D297353CC}">
              <c16:uniqueId val="{00000008-1A05-4D42-B397-3C41B2D16DD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file.xlsx]Pivot_table!PivotTable2</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Pivot_table!$D$2:$D$9</c:f>
              <c:strCache>
                <c:ptCount val="7"/>
                <c:pt idx="0">
                  <c:v>Action Figure</c:v>
                </c:pt>
                <c:pt idx="1">
                  <c:v>Blender</c:v>
                </c:pt>
                <c:pt idx="2">
                  <c:v>Moisturizer</c:v>
                </c:pt>
                <c:pt idx="3">
                  <c:v>Novel</c:v>
                </c:pt>
                <c:pt idx="4">
                  <c:v>Smartphone</c:v>
                </c:pt>
                <c:pt idx="5">
                  <c:v>Sneakers</c:v>
                </c:pt>
                <c:pt idx="6">
                  <c:v>Tent</c:v>
                </c:pt>
              </c:strCache>
            </c:strRef>
          </c:cat>
          <c:val>
            <c:numRef>
              <c:f>Pivot_table!$E$2:$E$9</c:f>
              <c:numCache>
                <c:formatCode>##\,##,\ "L"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B775-4E67-AC8A-D9347386E3EC}"/>
            </c:ext>
          </c:extLst>
        </c:ser>
        <c:dLbls>
          <c:showLegendKey val="0"/>
          <c:showVal val="0"/>
          <c:showCatName val="0"/>
          <c:showSerName val="0"/>
          <c:showPercent val="0"/>
          <c:showBubbleSize val="0"/>
        </c:dLbls>
        <c:gapWidth val="70"/>
        <c:axId val="1276046416"/>
        <c:axId val="1276046832"/>
      </c:barChart>
      <c:catAx>
        <c:axId val="127604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46832"/>
        <c:crosses val="autoZero"/>
        <c:auto val="1"/>
        <c:lblAlgn val="ctr"/>
        <c:lblOffset val="100"/>
        <c:noMultiLvlLbl val="0"/>
      </c:catAx>
      <c:valAx>
        <c:axId val="1276046832"/>
        <c:scaling>
          <c:orientation val="minMax"/>
        </c:scaling>
        <c:delete val="1"/>
        <c:axPos val="b"/>
        <c:numFmt formatCode="##\,##,\ &quot;L&quot;" sourceLinked="1"/>
        <c:majorTickMark val="none"/>
        <c:minorTickMark val="none"/>
        <c:tickLblPos val="nextTo"/>
        <c:crossAx val="127604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file.xlsx]Pivot_table!PivotTable3</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Pivot_table!$G$2:$G$12</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Pivot_table!$H$2:$H$12</c:f>
              <c:numCache>
                <c:formatCode>"Rs."\ ##\,##,\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34F4-4317-97EC-020FF12E3522}"/>
            </c:ext>
          </c:extLst>
        </c:ser>
        <c:dLbls>
          <c:dLblPos val="outEnd"/>
          <c:showLegendKey val="0"/>
          <c:showVal val="1"/>
          <c:showCatName val="0"/>
          <c:showSerName val="0"/>
          <c:showPercent val="0"/>
          <c:showBubbleSize val="0"/>
        </c:dLbls>
        <c:gapWidth val="70"/>
        <c:overlap val="-27"/>
        <c:axId val="1262751616"/>
        <c:axId val="1262748704"/>
      </c:barChart>
      <c:catAx>
        <c:axId val="126275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748704"/>
        <c:crosses val="autoZero"/>
        <c:auto val="1"/>
        <c:lblAlgn val="ctr"/>
        <c:lblOffset val="100"/>
        <c:noMultiLvlLbl val="0"/>
      </c:catAx>
      <c:valAx>
        <c:axId val="1262748704"/>
        <c:scaling>
          <c:orientation val="minMax"/>
        </c:scaling>
        <c:delete val="1"/>
        <c:axPos val="l"/>
        <c:numFmt formatCode="&quot;Rs.&quot;\ ##\,##,\ &quot;L&quot;" sourceLinked="1"/>
        <c:majorTickMark val="none"/>
        <c:minorTickMark val="none"/>
        <c:tickLblPos val="nextTo"/>
        <c:crossAx val="126275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82550</xdr:rowOff>
    </xdr:from>
    <xdr:to>
      <xdr:col>19</xdr:col>
      <xdr:colOff>48847</xdr:colOff>
      <xdr:row>4</xdr:row>
      <xdr:rowOff>120650</xdr:rowOff>
    </xdr:to>
    <xdr:sp macro="" textlink="">
      <xdr:nvSpPr>
        <xdr:cNvPr id="2" name="Rectangle: Rounded Corners 1">
          <a:extLst>
            <a:ext uri="{FF2B5EF4-FFF2-40B4-BE49-F238E27FC236}">
              <a16:creationId xmlns:a16="http://schemas.microsoft.com/office/drawing/2014/main" id="{DBBB55C2-78B2-4D96-BF91-14C6621F3279}"/>
            </a:ext>
          </a:extLst>
        </xdr:cNvPr>
        <xdr:cNvSpPr/>
      </xdr:nvSpPr>
      <xdr:spPr>
        <a:xfrm>
          <a:off x="0" y="82550"/>
          <a:ext cx="12539671" cy="755276"/>
        </a:xfrm>
        <a:prstGeom prst="roundRect">
          <a:avLst/>
        </a:prstGeom>
        <a:solidFill>
          <a:schemeClr val="bg1"/>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accent6">
                  <a:lumMod val="50000"/>
                </a:schemeClr>
              </a:solidFill>
              <a:latin typeface="Arial Black" panose="020B0A04020102020204" pitchFamily="34" charset="0"/>
            </a:rPr>
            <a:t>Sales Dashboard</a:t>
          </a:r>
          <a:r>
            <a:rPr lang="en-IN" sz="3200" baseline="0">
              <a:solidFill>
                <a:schemeClr val="accent6">
                  <a:lumMod val="50000"/>
                </a:schemeClr>
              </a:solidFill>
              <a:latin typeface="Arial Black" panose="020B0A04020102020204" pitchFamily="34" charset="0"/>
            </a:rPr>
            <a:t> 2020 - 2021</a:t>
          </a:r>
        </a:p>
      </xdr:txBody>
    </xdr:sp>
    <xdr:clientData/>
  </xdr:twoCellAnchor>
  <xdr:twoCellAnchor>
    <xdr:from>
      <xdr:col>0</xdr:col>
      <xdr:colOff>41767</xdr:colOff>
      <xdr:row>5</xdr:row>
      <xdr:rowOff>120017</xdr:rowOff>
    </xdr:from>
    <xdr:to>
      <xdr:col>3</xdr:col>
      <xdr:colOff>545363</xdr:colOff>
      <xdr:row>10</xdr:row>
      <xdr:rowOff>29883</xdr:rowOff>
    </xdr:to>
    <xdr:grpSp>
      <xdr:nvGrpSpPr>
        <xdr:cNvPr id="41" name="Group 40">
          <a:extLst>
            <a:ext uri="{FF2B5EF4-FFF2-40B4-BE49-F238E27FC236}">
              <a16:creationId xmlns:a16="http://schemas.microsoft.com/office/drawing/2014/main" id="{ACE9EAB5-99F6-4EFC-AA40-2C294CCB7910}"/>
            </a:ext>
          </a:extLst>
        </xdr:cNvPr>
        <xdr:cNvGrpSpPr/>
      </xdr:nvGrpSpPr>
      <xdr:grpSpPr>
        <a:xfrm>
          <a:off x="41767" y="1043653"/>
          <a:ext cx="2339323" cy="833503"/>
          <a:chOff x="41767" y="1016488"/>
          <a:chExt cx="2804527" cy="858630"/>
        </a:xfrm>
      </xdr:grpSpPr>
      <xdr:sp macro="" textlink="">
        <xdr:nvSpPr>
          <xdr:cNvPr id="3" name="Rectangle: Rounded Corners 2">
            <a:extLst>
              <a:ext uri="{FF2B5EF4-FFF2-40B4-BE49-F238E27FC236}">
                <a16:creationId xmlns:a16="http://schemas.microsoft.com/office/drawing/2014/main" id="{58382A9B-4492-4905-8126-255F748D4CC3}"/>
              </a:ext>
            </a:extLst>
          </xdr:cNvPr>
          <xdr:cNvSpPr/>
        </xdr:nvSpPr>
        <xdr:spPr>
          <a:xfrm>
            <a:off x="41767" y="1016488"/>
            <a:ext cx="2804527" cy="858630"/>
          </a:xfrm>
          <a:prstGeom prst="roundRect">
            <a:avLst/>
          </a:prstGeom>
          <a:solidFill>
            <a:schemeClr val="bg1"/>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1D19B91-5165-493E-8D4E-EA1977D4CD91}"/>
              </a:ext>
            </a:extLst>
          </xdr:cNvPr>
          <xdr:cNvSpPr/>
        </xdr:nvSpPr>
        <xdr:spPr>
          <a:xfrm>
            <a:off x="102647" y="1067293"/>
            <a:ext cx="544479" cy="744823"/>
          </a:xfrm>
          <a:prstGeom prst="roundRect">
            <a:avLst/>
          </a:prstGeom>
          <a:solidFill>
            <a:schemeClr val="bg1"/>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95DD7B9-BD0A-44B3-AC5A-8642B5F5C384}"/>
              </a:ext>
            </a:extLst>
          </xdr:cNvPr>
          <xdr:cNvSpPr txBox="1"/>
        </xdr:nvSpPr>
        <xdr:spPr>
          <a:xfrm>
            <a:off x="754529" y="1128057"/>
            <a:ext cx="1718634" cy="367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Total Sales</a:t>
            </a:r>
          </a:p>
        </xdr:txBody>
      </xdr:sp>
      <xdr:sp macro="" textlink="SalesData!K2">
        <xdr:nvSpPr>
          <xdr:cNvPr id="40" name="TextBox 39">
            <a:extLst>
              <a:ext uri="{FF2B5EF4-FFF2-40B4-BE49-F238E27FC236}">
                <a16:creationId xmlns:a16="http://schemas.microsoft.com/office/drawing/2014/main" id="{81D32576-1539-43E6-9870-D47C05CF2E70}"/>
              </a:ext>
            </a:extLst>
          </xdr:cNvPr>
          <xdr:cNvSpPr txBox="1"/>
        </xdr:nvSpPr>
        <xdr:spPr>
          <a:xfrm>
            <a:off x="766413" y="1397489"/>
            <a:ext cx="1706093" cy="342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C44705-85DD-4F6E-840C-AD78487B5789}" type="TxLink">
              <a:rPr lang="en-US" sz="1400" b="0" i="0" u="none" strike="noStrike">
                <a:solidFill>
                  <a:schemeClr val="accent6">
                    <a:lumMod val="50000"/>
                  </a:schemeClr>
                </a:solidFill>
                <a:latin typeface="Aptos Narrow"/>
              </a:rPr>
              <a:pPr algn="ctr"/>
              <a:t> 1,29,44,500.00 </a:t>
            </a:fld>
            <a:endParaRPr lang="en-IN" sz="1800" b="1">
              <a:solidFill>
                <a:schemeClr val="accent6">
                  <a:lumMod val="50000"/>
                </a:schemeClr>
              </a:solidFill>
            </a:endParaRPr>
          </a:p>
        </xdr:txBody>
      </xdr:sp>
    </xdr:grpSp>
    <xdr:clientData/>
  </xdr:twoCellAnchor>
  <xdr:twoCellAnchor>
    <xdr:from>
      <xdr:col>4</xdr:col>
      <xdr:colOff>183702</xdr:colOff>
      <xdr:row>5</xdr:row>
      <xdr:rowOff>120017</xdr:rowOff>
    </xdr:from>
    <xdr:to>
      <xdr:col>8</xdr:col>
      <xdr:colOff>29886</xdr:colOff>
      <xdr:row>10</xdr:row>
      <xdr:rowOff>29883</xdr:rowOff>
    </xdr:to>
    <xdr:grpSp>
      <xdr:nvGrpSpPr>
        <xdr:cNvPr id="42" name="Group 41">
          <a:extLst>
            <a:ext uri="{FF2B5EF4-FFF2-40B4-BE49-F238E27FC236}">
              <a16:creationId xmlns:a16="http://schemas.microsoft.com/office/drawing/2014/main" id="{12ED99F1-B32E-42CB-9682-17E889EF112B}"/>
            </a:ext>
          </a:extLst>
        </xdr:cNvPr>
        <xdr:cNvGrpSpPr/>
      </xdr:nvGrpSpPr>
      <xdr:grpSpPr>
        <a:xfrm>
          <a:off x="2631338" y="1043653"/>
          <a:ext cx="2293821" cy="833503"/>
          <a:chOff x="41767" y="1016488"/>
          <a:chExt cx="2804527" cy="858630"/>
        </a:xfrm>
      </xdr:grpSpPr>
      <xdr:sp macro="" textlink="">
        <xdr:nvSpPr>
          <xdr:cNvPr id="43" name="Rectangle: Rounded Corners 42">
            <a:extLst>
              <a:ext uri="{FF2B5EF4-FFF2-40B4-BE49-F238E27FC236}">
                <a16:creationId xmlns:a16="http://schemas.microsoft.com/office/drawing/2014/main" id="{F34FA49E-F7D9-4A67-9F50-281C698D4AB0}"/>
              </a:ext>
            </a:extLst>
          </xdr:cNvPr>
          <xdr:cNvSpPr/>
        </xdr:nvSpPr>
        <xdr:spPr>
          <a:xfrm>
            <a:off x="41767" y="1016488"/>
            <a:ext cx="2804527" cy="858630"/>
          </a:xfrm>
          <a:prstGeom prst="roundRect">
            <a:avLst/>
          </a:prstGeom>
          <a:solidFill>
            <a:schemeClr val="bg1"/>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CBE92A27-4A15-45F3-8FBB-637E7A4DF580}"/>
              </a:ext>
            </a:extLst>
          </xdr:cNvPr>
          <xdr:cNvSpPr/>
        </xdr:nvSpPr>
        <xdr:spPr>
          <a:xfrm>
            <a:off x="102647" y="1067293"/>
            <a:ext cx="544479" cy="744823"/>
          </a:xfrm>
          <a:prstGeom prst="roundRect">
            <a:avLst/>
          </a:prstGeom>
          <a:solidFill>
            <a:schemeClr val="bg1"/>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F4E6180A-57C2-4ED9-9B24-AEC5D77DC054}"/>
              </a:ext>
            </a:extLst>
          </xdr:cNvPr>
          <xdr:cNvSpPr txBox="1"/>
        </xdr:nvSpPr>
        <xdr:spPr>
          <a:xfrm>
            <a:off x="754529" y="1128057"/>
            <a:ext cx="1718634" cy="367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Average Sales</a:t>
            </a:r>
          </a:p>
        </xdr:txBody>
      </xdr:sp>
      <xdr:sp macro="" textlink="SalesData!K8">
        <xdr:nvSpPr>
          <xdr:cNvPr id="46" name="TextBox 45">
            <a:extLst>
              <a:ext uri="{FF2B5EF4-FFF2-40B4-BE49-F238E27FC236}">
                <a16:creationId xmlns:a16="http://schemas.microsoft.com/office/drawing/2014/main" id="{5F381309-A15E-428F-93DA-F1B114DD3CAA}"/>
              </a:ext>
            </a:extLst>
          </xdr:cNvPr>
          <xdr:cNvSpPr txBox="1"/>
        </xdr:nvSpPr>
        <xdr:spPr>
          <a:xfrm>
            <a:off x="766413" y="1397489"/>
            <a:ext cx="1706093" cy="342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A21906-087A-419E-B231-C0C811FE75C8}" type="TxLink">
              <a:rPr lang="en-US" sz="1400" b="0" i="0" u="none" strike="noStrike">
                <a:solidFill>
                  <a:schemeClr val="accent6">
                    <a:lumMod val="50000"/>
                  </a:schemeClr>
                </a:solidFill>
                <a:latin typeface="Aptos Narrow"/>
              </a:rPr>
              <a:pPr algn="ctr"/>
              <a:t> 2,58,890.00 </a:t>
            </a:fld>
            <a:endParaRPr lang="en-IN" sz="2400" b="1">
              <a:solidFill>
                <a:schemeClr val="accent6">
                  <a:lumMod val="50000"/>
                </a:schemeClr>
              </a:solidFill>
            </a:endParaRPr>
          </a:p>
        </xdr:txBody>
      </xdr:sp>
    </xdr:grpSp>
    <xdr:clientData/>
  </xdr:twoCellAnchor>
  <xdr:twoCellAnchor>
    <xdr:from>
      <xdr:col>8</xdr:col>
      <xdr:colOff>310697</xdr:colOff>
      <xdr:row>5</xdr:row>
      <xdr:rowOff>120017</xdr:rowOff>
    </xdr:from>
    <xdr:to>
      <xdr:col>12</xdr:col>
      <xdr:colOff>156881</xdr:colOff>
      <xdr:row>10</xdr:row>
      <xdr:rowOff>29883</xdr:rowOff>
    </xdr:to>
    <xdr:grpSp>
      <xdr:nvGrpSpPr>
        <xdr:cNvPr id="47" name="Group 46">
          <a:extLst>
            <a:ext uri="{FF2B5EF4-FFF2-40B4-BE49-F238E27FC236}">
              <a16:creationId xmlns:a16="http://schemas.microsoft.com/office/drawing/2014/main" id="{D0F2057A-30D2-4123-BB58-02A6AA6E1D43}"/>
            </a:ext>
          </a:extLst>
        </xdr:cNvPr>
        <xdr:cNvGrpSpPr/>
      </xdr:nvGrpSpPr>
      <xdr:grpSpPr>
        <a:xfrm>
          <a:off x="5205970" y="1043653"/>
          <a:ext cx="2293820" cy="833503"/>
          <a:chOff x="41767" y="1016488"/>
          <a:chExt cx="2804527" cy="858630"/>
        </a:xfrm>
      </xdr:grpSpPr>
      <xdr:sp macro="" textlink="">
        <xdr:nvSpPr>
          <xdr:cNvPr id="48" name="Rectangle: Rounded Corners 47">
            <a:extLst>
              <a:ext uri="{FF2B5EF4-FFF2-40B4-BE49-F238E27FC236}">
                <a16:creationId xmlns:a16="http://schemas.microsoft.com/office/drawing/2014/main" id="{D483A30D-6F90-4966-9D48-B8FFD241013B}"/>
              </a:ext>
            </a:extLst>
          </xdr:cNvPr>
          <xdr:cNvSpPr/>
        </xdr:nvSpPr>
        <xdr:spPr>
          <a:xfrm>
            <a:off x="41767" y="1016488"/>
            <a:ext cx="2804527" cy="858630"/>
          </a:xfrm>
          <a:prstGeom prst="roundRect">
            <a:avLst/>
          </a:prstGeom>
          <a:solidFill>
            <a:schemeClr val="bg1"/>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Rounded Corners 48">
            <a:extLst>
              <a:ext uri="{FF2B5EF4-FFF2-40B4-BE49-F238E27FC236}">
                <a16:creationId xmlns:a16="http://schemas.microsoft.com/office/drawing/2014/main" id="{E28076A5-1A1B-4FEF-9000-F027349E87B0}"/>
              </a:ext>
            </a:extLst>
          </xdr:cNvPr>
          <xdr:cNvSpPr/>
        </xdr:nvSpPr>
        <xdr:spPr>
          <a:xfrm>
            <a:off x="102647" y="1067293"/>
            <a:ext cx="544479" cy="744823"/>
          </a:xfrm>
          <a:prstGeom prst="roundRect">
            <a:avLst/>
          </a:prstGeom>
          <a:solidFill>
            <a:schemeClr val="bg1"/>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E137D814-38FD-4601-972A-E715B00FE29D}"/>
              </a:ext>
            </a:extLst>
          </xdr:cNvPr>
          <xdr:cNvSpPr txBox="1"/>
        </xdr:nvSpPr>
        <xdr:spPr>
          <a:xfrm>
            <a:off x="754529" y="1128057"/>
            <a:ext cx="1718634" cy="367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Unit Sold</a:t>
            </a:r>
          </a:p>
        </xdr:txBody>
      </xdr:sp>
      <xdr:sp macro="" textlink="SalesData!K4">
        <xdr:nvSpPr>
          <xdr:cNvPr id="51" name="TextBox 50">
            <a:extLst>
              <a:ext uri="{FF2B5EF4-FFF2-40B4-BE49-F238E27FC236}">
                <a16:creationId xmlns:a16="http://schemas.microsoft.com/office/drawing/2014/main" id="{1030BA5F-B3BE-4CC0-B8E8-E709B9530B70}"/>
              </a:ext>
            </a:extLst>
          </xdr:cNvPr>
          <xdr:cNvSpPr txBox="1"/>
        </xdr:nvSpPr>
        <xdr:spPr>
          <a:xfrm>
            <a:off x="766413" y="1397489"/>
            <a:ext cx="1706093" cy="342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F53CB2-8440-43BF-90A4-E5905AA09E0C}" type="TxLink">
              <a:rPr lang="en-US" sz="1400" b="0" i="0" u="none" strike="noStrike">
                <a:solidFill>
                  <a:schemeClr val="accent6">
                    <a:lumMod val="50000"/>
                  </a:schemeClr>
                </a:solidFill>
                <a:latin typeface="Aptos Narrow"/>
              </a:rPr>
              <a:pPr algn="ctr"/>
              <a:t>4705</a:t>
            </a:fld>
            <a:endParaRPr lang="en-IN" sz="2400" b="1">
              <a:solidFill>
                <a:schemeClr val="accent6">
                  <a:lumMod val="50000"/>
                </a:schemeClr>
              </a:solidFill>
            </a:endParaRPr>
          </a:p>
        </xdr:txBody>
      </xdr:sp>
    </xdr:grpSp>
    <xdr:clientData/>
  </xdr:twoCellAnchor>
  <xdr:twoCellAnchor>
    <xdr:from>
      <xdr:col>12</xdr:col>
      <xdr:colOff>385402</xdr:colOff>
      <xdr:row>5</xdr:row>
      <xdr:rowOff>120017</xdr:rowOff>
    </xdr:from>
    <xdr:to>
      <xdr:col>16</xdr:col>
      <xdr:colOff>231586</xdr:colOff>
      <xdr:row>10</xdr:row>
      <xdr:rowOff>29883</xdr:rowOff>
    </xdr:to>
    <xdr:grpSp>
      <xdr:nvGrpSpPr>
        <xdr:cNvPr id="52" name="Group 51">
          <a:extLst>
            <a:ext uri="{FF2B5EF4-FFF2-40B4-BE49-F238E27FC236}">
              <a16:creationId xmlns:a16="http://schemas.microsoft.com/office/drawing/2014/main" id="{FBB77F40-E787-4E3A-9841-C285E7E369C2}"/>
            </a:ext>
          </a:extLst>
        </xdr:cNvPr>
        <xdr:cNvGrpSpPr/>
      </xdr:nvGrpSpPr>
      <xdr:grpSpPr>
        <a:xfrm>
          <a:off x="7728311" y="1043653"/>
          <a:ext cx="2293820" cy="833503"/>
          <a:chOff x="41767" y="1016488"/>
          <a:chExt cx="2804527" cy="858630"/>
        </a:xfrm>
      </xdr:grpSpPr>
      <xdr:sp macro="" textlink="">
        <xdr:nvSpPr>
          <xdr:cNvPr id="53" name="Rectangle: Rounded Corners 52">
            <a:extLst>
              <a:ext uri="{FF2B5EF4-FFF2-40B4-BE49-F238E27FC236}">
                <a16:creationId xmlns:a16="http://schemas.microsoft.com/office/drawing/2014/main" id="{6B0712EF-2CA0-4017-A093-350255302289}"/>
              </a:ext>
            </a:extLst>
          </xdr:cNvPr>
          <xdr:cNvSpPr/>
        </xdr:nvSpPr>
        <xdr:spPr>
          <a:xfrm>
            <a:off x="41767" y="1016488"/>
            <a:ext cx="2804527" cy="858630"/>
          </a:xfrm>
          <a:prstGeom prst="roundRect">
            <a:avLst/>
          </a:prstGeom>
          <a:solidFill>
            <a:schemeClr val="bg1"/>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D8F27C48-DE41-4F9B-B179-EB45C1FFC5C2}"/>
              </a:ext>
            </a:extLst>
          </xdr:cNvPr>
          <xdr:cNvSpPr/>
        </xdr:nvSpPr>
        <xdr:spPr>
          <a:xfrm>
            <a:off x="102647" y="1067293"/>
            <a:ext cx="544479" cy="744823"/>
          </a:xfrm>
          <a:prstGeom prst="roundRect">
            <a:avLst/>
          </a:prstGeom>
          <a:solidFill>
            <a:schemeClr val="bg1"/>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64826CDB-5687-4AD7-844E-3F9175D61EF2}"/>
              </a:ext>
            </a:extLst>
          </xdr:cNvPr>
          <xdr:cNvSpPr txBox="1"/>
        </xdr:nvSpPr>
        <xdr:spPr>
          <a:xfrm>
            <a:off x="754529" y="1128057"/>
            <a:ext cx="1718634" cy="367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Profit</a:t>
            </a:r>
          </a:p>
          <a:p>
            <a:pPr algn="ctr"/>
            <a:endParaRPr lang="en-IN" sz="1600" b="1">
              <a:solidFill>
                <a:schemeClr val="accent6">
                  <a:lumMod val="50000"/>
                </a:schemeClr>
              </a:solidFill>
            </a:endParaRPr>
          </a:p>
        </xdr:txBody>
      </xdr:sp>
      <xdr:sp macro="" textlink="SalesData!K6">
        <xdr:nvSpPr>
          <xdr:cNvPr id="56" name="TextBox 55">
            <a:extLst>
              <a:ext uri="{FF2B5EF4-FFF2-40B4-BE49-F238E27FC236}">
                <a16:creationId xmlns:a16="http://schemas.microsoft.com/office/drawing/2014/main" id="{332F6E41-C31E-4677-8AE5-D6B13B4BE26A}"/>
              </a:ext>
            </a:extLst>
          </xdr:cNvPr>
          <xdr:cNvSpPr txBox="1"/>
        </xdr:nvSpPr>
        <xdr:spPr>
          <a:xfrm>
            <a:off x="766413" y="1397489"/>
            <a:ext cx="1706093" cy="342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80F111-6BA9-4305-B5E6-93B991E54D94}" type="TxLink">
              <a:rPr lang="en-US" sz="1400" b="0" i="0" u="none" strike="noStrike">
                <a:solidFill>
                  <a:schemeClr val="accent6">
                    <a:lumMod val="50000"/>
                  </a:schemeClr>
                </a:solidFill>
                <a:latin typeface="Aptos Narrow"/>
              </a:rPr>
              <a:pPr algn="ctr"/>
              <a:t> 38,34,400.00 </a:t>
            </a:fld>
            <a:endParaRPr lang="en-IN" sz="2400" b="1">
              <a:solidFill>
                <a:schemeClr val="accent6">
                  <a:lumMod val="50000"/>
                </a:schemeClr>
              </a:solidFill>
            </a:endParaRPr>
          </a:p>
        </xdr:txBody>
      </xdr:sp>
    </xdr:grpSp>
    <xdr:clientData/>
  </xdr:twoCellAnchor>
  <xdr:twoCellAnchor editAs="oneCell">
    <xdr:from>
      <xdr:col>4</xdr:col>
      <xdr:colOff>252211</xdr:colOff>
      <xdr:row>6</xdr:row>
      <xdr:rowOff>114893</xdr:rowOff>
    </xdr:from>
    <xdr:to>
      <xdr:col>5</xdr:col>
      <xdr:colOff>51872</xdr:colOff>
      <xdr:row>8</xdr:row>
      <xdr:rowOff>118242</xdr:rowOff>
    </xdr:to>
    <xdr:pic>
      <xdr:nvPicPr>
        <xdr:cNvPr id="58" name="Graphic 57" descr="Coins with solid fill">
          <a:extLst>
            <a:ext uri="{FF2B5EF4-FFF2-40B4-BE49-F238E27FC236}">
              <a16:creationId xmlns:a16="http://schemas.microsoft.com/office/drawing/2014/main" id="{7D37E9BA-8672-4794-838D-6A645F216A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687108" y="1218479"/>
          <a:ext cx="408385" cy="371211"/>
        </a:xfrm>
        <a:prstGeom prst="rect">
          <a:avLst/>
        </a:prstGeom>
      </xdr:spPr>
    </xdr:pic>
    <xdr:clientData/>
  </xdr:twoCellAnchor>
  <xdr:twoCellAnchor editAs="oneCell">
    <xdr:from>
      <xdr:col>0</xdr:col>
      <xdr:colOff>22412</xdr:colOff>
      <xdr:row>6</xdr:row>
      <xdr:rowOff>35806</xdr:rowOff>
    </xdr:from>
    <xdr:to>
      <xdr:col>1</xdr:col>
      <xdr:colOff>5522</xdr:colOff>
      <xdr:row>9</xdr:row>
      <xdr:rowOff>35828</xdr:rowOff>
    </xdr:to>
    <xdr:pic>
      <xdr:nvPicPr>
        <xdr:cNvPr id="60" name="Graphic 59" descr="Dollar with solid fill">
          <a:extLst>
            <a:ext uri="{FF2B5EF4-FFF2-40B4-BE49-F238E27FC236}">
              <a16:creationId xmlns:a16="http://schemas.microsoft.com/office/drawing/2014/main" id="{CFD5E07E-36E5-42A5-8C5B-435C494325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2412" y="1129110"/>
          <a:ext cx="590501" cy="546675"/>
        </a:xfrm>
        <a:prstGeom prst="rect">
          <a:avLst/>
        </a:prstGeom>
      </xdr:spPr>
    </xdr:pic>
    <xdr:clientData/>
  </xdr:twoCellAnchor>
  <xdr:twoCellAnchor editAs="oneCell">
    <xdr:from>
      <xdr:col>8</xdr:col>
      <xdr:colOff>336147</xdr:colOff>
      <xdr:row>6</xdr:row>
      <xdr:rowOff>90108</xdr:rowOff>
    </xdr:from>
    <xdr:to>
      <xdr:col>9</xdr:col>
      <xdr:colOff>226562</xdr:colOff>
      <xdr:row>8</xdr:row>
      <xdr:rowOff>179553</xdr:rowOff>
    </xdr:to>
    <xdr:pic>
      <xdr:nvPicPr>
        <xdr:cNvPr id="62" name="Graphic 61" descr="Shopping cart with solid fill">
          <a:extLst>
            <a:ext uri="{FF2B5EF4-FFF2-40B4-BE49-F238E27FC236}">
              <a16:creationId xmlns:a16="http://schemas.microsoft.com/office/drawing/2014/main" id="{99F355DB-26B3-46DE-B2EC-26F5E269C92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205940" y="1193694"/>
          <a:ext cx="499139" cy="457307"/>
        </a:xfrm>
        <a:prstGeom prst="rect">
          <a:avLst/>
        </a:prstGeom>
      </xdr:spPr>
    </xdr:pic>
    <xdr:clientData/>
  </xdr:twoCellAnchor>
  <xdr:twoCellAnchor editAs="oneCell">
    <xdr:from>
      <xdr:col>12</xdr:col>
      <xdr:colOff>402481</xdr:colOff>
      <xdr:row>6</xdr:row>
      <xdr:rowOff>99967</xdr:rowOff>
    </xdr:from>
    <xdr:to>
      <xdr:col>13</xdr:col>
      <xdr:colOff>278303</xdr:colOff>
      <xdr:row>8</xdr:row>
      <xdr:rowOff>175172</xdr:rowOff>
    </xdr:to>
    <xdr:pic>
      <xdr:nvPicPr>
        <xdr:cNvPr id="64" name="Graphic 63" descr="Upward trend with solid fill">
          <a:extLst>
            <a:ext uri="{FF2B5EF4-FFF2-40B4-BE49-F238E27FC236}">
              <a16:creationId xmlns:a16="http://schemas.microsoft.com/office/drawing/2014/main" id="{D8F7B988-1BC4-4EB7-9344-9E368CB6104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707171" y="1203553"/>
          <a:ext cx="484546" cy="443067"/>
        </a:xfrm>
        <a:prstGeom prst="rect">
          <a:avLst/>
        </a:prstGeom>
      </xdr:spPr>
    </xdr:pic>
    <xdr:clientData/>
  </xdr:twoCellAnchor>
  <xdr:twoCellAnchor editAs="oneCell">
    <xdr:from>
      <xdr:col>16</xdr:col>
      <xdr:colOff>351117</xdr:colOff>
      <xdr:row>5</xdr:row>
      <xdr:rowOff>141941</xdr:rowOff>
    </xdr:from>
    <xdr:to>
      <xdr:col>19</xdr:col>
      <xdr:colOff>398181</xdr:colOff>
      <xdr:row>9</xdr:row>
      <xdr:rowOff>91515</xdr:rowOff>
    </xdr:to>
    <mc:AlternateContent xmlns:mc="http://schemas.openxmlformats.org/markup-compatibility/2006">
      <mc:Choice xmlns:a14="http://schemas.microsoft.com/office/drawing/2010/main" Requires="a14">
        <xdr:graphicFrame macro="">
          <xdr:nvGraphicFramePr>
            <xdr:cNvPr id="27" name="Region">
              <a:extLst>
                <a:ext uri="{FF2B5EF4-FFF2-40B4-BE49-F238E27FC236}">
                  <a16:creationId xmlns:a16="http://schemas.microsoft.com/office/drawing/2014/main" id="{7C658E29-3A2E-4740-B465-1EB90C4946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41662" y="1065577"/>
              <a:ext cx="1882792" cy="688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171825</xdr:rowOff>
    </xdr:from>
    <xdr:to>
      <xdr:col>3</xdr:col>
      <xdr:colOff>37726</xdr:colOff>
      <xdr:row>23</xdr:row>
      <xdr:rowOff>180228</xdr:rowOff>
    </xdr:to>
    <mc:AlternateContent xmlns:mc="http://schemas.openxmlformats.org/markup-compatibility/2006">
      <mc:Choice xmlns:a14="http://schemas.microsoft.com/office/drawing/2010/main" Requires="a14">
        <xdr:graphicFrame macro="">
          <xdr:nvGraphicFramePr>
            <xdr:cNvPr id="29" name="Product">
              <a:extLst>
                <a:ext uri="{FF2B5EF4-FFF2-40B4-BE49-F238E27FC236}">
                  <a16:creationId xmlns:a16="http://schemas.microsoft.com/office/drawing/2014/main" id="{9FAB2EB1-D5E2-49CC-AA91-9E3F1FEA5DE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2019098"/>
              <a:ext cx="1873453" cy="2409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115454</xdr:rowOff>
    </xdr:from>
    <xdr:to>
      <xdr:col>2</xdr:col>
      <xdr:colOff>600363</xdr:colOff>
      <xdr:row>41</xdr:row>
      <xdr:rowOff>141432</xdr:rowOff>
    </xdr:to>
    <mc:AlternateContent xmlns:mc="http://schemas.openxmlformats.org/markup-compatibility/2006">
      <mc:Choice xmlns:a14="http://schemas.microsoft.com/office/drawing/2010/main" Requires="a14">
        <xdr:graphicFrame macro="">
          <xdr:nvGraphicFramePr>
            <xdr:cNvPr id="31" name="Sales Person">
              <a:extLst>
                <a:ext uri="{FF2B5EF4-FFF2-40B4-BE49-F238E27FC236}">
                  <a16:creationId xmlns:a16="http://schemas.microsoft.com/office/drawing/2014/main" id="{86977F29-3415-416E-BA1E-654D0B44246C}"/>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0" y="4733636"/>
              <a:ext cx="1824181" cy="2981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29883</xdr:colOff>
      <xdr:row>10</xdr:row>
      <xdr:rowOff>134470</xdr:rowOff>
    </xdr:from>
    <xdr:to>
      <xdr:col>10</xdr:col>
      <xdr:colOff>642470</xdr:colOff>
      <xdr:row>27</xdr:row>
      <xdr:rowOff>134470</xdr:rowOff>
    </xdr:to>
    <xdr:sp macro="" textlink="">
      <xdr:nvSpPr>
        <xdr:cNvPr id="4" name="Rectangle: Rounded Corners 3">
          <a:extLst>
            <a:ext uri="{FF2B5EF4-FFF2-40B4-BE49-F238E27FC236}">
              <a16:creationId xmlns:a16="http://schemas.microsoft.com/office/drawing/2014/main" id="{E6BD3867-818D-4057-8240-77B6E542E22D}"/>
            </a:ext>
          </a:extLst>
        </xdr:cNvPr>
        <xdr:cNvSpPr/>
      </xdr:nvSpPr>
      <xdr:spPr>
        <a:xfrm>
          <a:off x="2002118" y="1927411"/>
          <a:ext cx="5214470" cy="3048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6">
                  <a:lumMod val="50000"/>
                </a:schemeClr>
              </a:solidFill>
            </a:rPr>
            <a:t>Unit Sold</a:t>
          </a:r>
          <a:r>
            <a:rPr lang="en-IN" sz="1400" b="1" baseline="0">
              <a:solidFill>
                <a:schemeClr val="accent6">
                  <a:lumMod val="50000"/>
                </a:schemeClr>
              </a:solidFill>
            </a:rPr>
            <a:t> by Product</a:t>
          </a:r>
          <a:endParaRPr lang="en-IN" sz="1400" b="1">
            <a:solidFill>
              <a:schemeClr val="accent6">
                <a:lumMod val="50000"/>
              </a:schemeClr>
            </a:solidFill>
          </a:endParaRPr>
        </a:p>
      </xdr:txBody>
    </xdr:sp>
    <xdr:clientData/>
  </xdr:twoCellAnchor>
  <xdr:twoCellAnchor>
    <xdr:from>
      <xdr:col>3</xdr:col>
      <xdr:colOff>351119</xdr:colOff>
      <xdr:row>13</xdr:row>
      <xdr:rowOff>52294</xdr:rowOff>
    </xdr:from>
    <xdr:to>
      <xdr:col>10</xdr:col>
      <xdr:colOff>298823</xdr:colOff>
      <xdr:row>25</xdr:row>
      <xdr:rowOff>149413</xdr:rowOff>
    </xdr:to>
    <xdr:graphicFrame macro="">
      <xdr:nvGraphicFramePr>
        <xdr:cNvPr id="32" name="Chart 31">
          <a:extLst>
            <a:ext uri="{FF2B5EF4-FFF2-40B4-BE49-F238E27FC236}">
              <a16:creationId xmlns:a16="http://schemas.microsoft.com/office/drawing/2014/main" id="{4E70455D-DDE9-4277-9B49-597C2A567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560295</xdr:colOff>
      <xdr:row>10</xdr:row>
      <xdr:rowOff>134470</xdr:rowOff>
    </xdr:from>
    <xdr:to>
      <xdr:col>19</xdr:col>
      <xdr:colOff>515470</xdr:colOff>
      <xdr:row>27</xdr:row>
      <xdr:rowOff>134470</xdr:rowOff>
    </xdr:to>
    <xdr:sp macro="" textlink="">
      <xdr:nvSpPr>
        <xdr:cNvPr id="37" name="Rectangle: Rounded Corners 36">
          <a:extLst>
            <a:ext uri="{FF2B5EF4-FFF2-40B4-BE49-F238E27FC236}">
              <a16:creationId xmlns:a16="http://schemas.microsoft.com/office/drawing/2014/main" id="{F37EB24C-72E3-4ED1-9EE0-438E46BD0FD2}"/>
            </a:ext>
          </a:extLst>
        </xdr:cNvPr>
        <xdr:cNvSpPr/>
      </xdr:nvSpPr>
      <xdr:spPr>
        <a:xfrm>
          <a:off x="7791824" y="1927411"/>
          <a:ext cx="5214470" cy="3048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6">
                  <a:lumMod val="50000"/>
                </a:schemeClr>
              </a:solidFill>
            </a:rPr>
            <a:t>Total Sales by Region</a:t>
          </a:r>
        </a:p>
      </xdr:txBody>
    </xdr:sp>
    <xdr:clientData/>
  </xdr:twoCellAnchor>
  <xdr:twoCellAnchor>
    <xdr:from>
      <xdr:col>12</xdr:col>
      <xdr:colOff>404158</xdr:colOff>
      <xdr:row>28</xdr:row>
      <xdr:rowOff>170757</xdr:rowOff>
    </xdr:from>
    <xdr:to>
      <xdr:col>22</xdr:col>
      <xdr:colOff>657784</xdr:colOff>
      <xdr:row>49</xdr:row>
      <xdr:rowOff>47626</xdr:rowOff>
    </xdr:to>
    <xdr:sp macro="" textlink="">
      <xdr:nvSpPr>
        <xdr:cNvPr id="38" name="Rectangle: Rounded Corners 37">
          <a:extLst>
            <a:ext uri="{FF2B5EF4-FFF2-40B4-BE49-F238E27FC236}">
              <a16:creationId xmlns:a16="http://schemas.microsoft.com/office/drawing/2014/main" id="{10697E4F-BAC8-4420-897B-04BFD773DE63}"/>
            </a:ext>
          </a:extLst>
        </xdr:cNvPr>
        <xdr:cNvSpPr/>
      </xdr:nvSpPr>
      <xdr:spPr>
        <a:xfrm>
          <a:off x="8405158" y="5060257"/>
          <a:ext cx="6921126" cy="354399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6">
                  <a:lumMod val="50000"/>
                </a:schemeClr>
              </a:solidFill>
            </a:rPr>
            <a:t>Total Sales</a:t>
          </a:r>
          <a:r>
            <a:rPr lang="en-IN" sz="1400" b="1" baseline="0">
              <a:solidFill>
                <a:schemeClr val="accent6">
                  <a:lumMod val="50000"/>
                </a:schemeClr>
              </a:solidFill>
            </a:rPr>
            <a:t> by Sales Person</a:t>
          </a:r>
        </a:p>
      </xdr:txBody>
    </xdr:sp>
    <xdr:clientData/>
  </xdr:twoCellAnchor>
  <xdr:twoCellAnchor>
    <xdr:from>
      <xdr:col>3</xdr:col>
      <xdr:colOff>235991</xdr:colOff>
      <xdr:row>29</xdr:row>
      <xdr:rowOff>43756</xdr:rowOff>
    </xdr:from>
    <xdr:to>
      <xdr:col>11</xdr:col>
      <xdr:colOff>603250</xdr:colOff>
      <xdr:row>51</xdr:row>
      <xdr:rowOff>18143</xdr:rowOff>
    </xdr:to>
    <xdr:sp macro="" textlink="">
      <xdr:nvSpPr>
        <xdr:cNvPr id="39" name="Rectangle: Rounded Corners 38">
          <a:extLst>
            <a:ext uri="{FF2B5EF4-FFF2-40B4-BE49-F238E27FC236}">
              <a16:creationId xmlns:a16="http://schemas.microsoft.com/office/drawing/2014/main" id="{CA997248-4DC6-4CC9-8D7D-9FFAA46D09FA}"/>
            </a:ext>
          </a:extLst>
        </xdr:cNvPr>
        <xdr:cNvSpPr/>
      </xdr:nvSpPr>
      <xdr:spPr>
        <a:xfrm>
          <a:off x="2222634" y="5305185"/>
          <a:ext cx="5664973" cy="396581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6">
                  <a:lumMod val="50000"/>
                </a:schemeClr>
              </a:solidFill>
            </a:rPr>
            <a:t>Total</a:t>
          </a:r>
          <a:r>
            <a:rPr lang="en-IN" sz="1400" b="1" baseline="0">
              <a:solidFill>
                <a:schemeClr val="accent6">
                  <a:lumMod val="50000"/>
                </a:schemeClr>
              </a:solidFill>
            </a:rPr>
            <a:t> Sales by Product</a:t>
          </a:r>
        </a:p>
      </xdr:txBody>
    </xdr:sp>
    <xdr:clientData/>
  </xdr:twoCellAnchor>
  <xdr:twoCellAnchor>
    <xdr:from>
      <xdr:col>12</xdr:col>
      <xdr:colOff>553358</xdr:colOff>
      <xdr:row>13</xdr:row>
      <xdr:rowOff>98185</xdr:rowOff>
    </xdr:from>
    <xdr:to>
      <xdr:col>18</xdr:col>
      <xdr:colOff>544287</xdr:colOff>
      <xdr:row>26</xdr:row>
      <xdr:rowOff>0</xdr:rowOff>
    </xdr:to>
    <xdr:graphicFrame macro="">
      <xdr:nvGraphicFramePr>
        <xdr:cNvPr id="57" name="Chart 56">
          <a:extLst>
            <a:ext uri="{FF2B5EF4-FFF2-40B4-BE49-F238E27FC236}">
              <a16:creationId xmlns:a16="http://schemas.microsoft.com/office/drawing/2014/main" id="{B818CF7B-B058-430D-B6B2-1408894B0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607786</xdr:colOff>
      <xdr:row>31</xdr:row>
      <xdr:rowOff>160076</xdr:rowOff>
    </xdr:from>
    <xdr:to>
      <xdr:col>11</xdr:col>
      <xdr:colOff>111125</xdr:colOff>
      <xdr:row>48</xdr:row>
      <xdr:rowOff>99786</xdr:rowOff>
    </xdr:to>
    <xdr:graphicFrame macro="">
      <xdr:nvGraphicFramePr>
        <xdr:cNvPr id="59" name="Chart 58">
          <a:extLst>
            <a:ext uri="{FF2B5EF4-FFF2-40B4-BE49-F238E27FC236}">
              <a16:creationId xmlns:a16="http://schemas.microsoft.com/office/drawing/2014/main" id="{A177548A-CC9B-4648-B795-E03A0DF58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397809</xdr:colOff>
      <xdr:row>32</xdr:row>
      <xdr:rowOff>14941</xdr:rowOff>
    </xdr:from>
    <xdr:to>
      <xdr:col>22</xdr:col>
      <xdr:colOff>167342</xdr:colOff>
      <xdr:row>46</xdr:row>
      <xdr:rowOff>82177</xdr:rowOff>
    </xdr:to>
    <xdr:graphicFrame macro="">
      <xdr:nvGraphicFramePr>
        <xdr:cNvPr id="61" name="Chart 60">
          <a:extLst>
            <a:ext uri="{FF2B5EF4-FFF2-40B4-BE49-F238E27FC236}">
              <a16:creationId xmlns:a16="http://schemas.microsoft.com/office/drawing/2014/main" id="{06A831DB-A647-4A65-809D-6D7B95F7B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KJK" refreshedDate="45854.969030324071" createdVersion="7" refreshedVersion="7" minRefreshableVersion="3" recordCount="50" xr:uid="{AC370386-71BB-4062-B628-C888824F9BD1}">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921483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BCB274-AE27-40DA-9CF7-04802DB59B1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1:K9"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4"/>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A99192-001C-456D-91E8-06E470F2E85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H12"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6"/>
  </dataFields>
  <formats count="1">
    <format dxfId="145">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BE3EE2-29CD-427D-B669-C6AFC207FD7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E9"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0" baseItem="0" numFmtId="165"/>
  </dataFields>
  <formats count="1">
    <format dxfId="14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5FB0C-6E13-44CD-8F78-FE1D6007DC4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B6"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0" baseItem="0" numFmtId="166"/>
  </dataFields>
  <formats count="1">
    <format dxfId="134">
      <pivotArea outline="0" collapsedLevelsAreSubtotals="1" fieldPosition="0"/>
    </format>
  </formats>
  <chartFormats count="5">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3"/>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0"/>
          </reference>
        </references>
      </pivotArea>
    </chartFormat>
    <chartFormat chart="4" format="11">
      <pivotArea type="data" outline="0" fieldPosition="0">
        <references count="2">
          <reference field="4294967294" count="1" selected="0">
            <x v="0"/>
          </reference>
          <reference field="2"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AD680C-9995-4BA2-B3AA-3B4CA16715A6}" sourceName="Region">
  <pivotTables>
    <pivotTable tabId="4" name="PivotTable1"/>
    <pivotTable tabId="4" name="PivotTable2"/>
    <pivotTable tabId="4" name="PivotTable3"/>
    <pivotTable tabId="4" name="PivotTable4"/>
  </pivotTables>
  <data>
    <tabular pivotCacheId="1921483732">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785AC73-8537-4D8A-B832-16D2A775AF22}" sourceName="Product">
  <pivotTables>
    <pivotTable tabId="4" name="PivotTable1"/>
    <pivotTable tabId="4" name="PivotTable2"/>
    <pivotTable tabId="4" name="PivotTable3"/>
    <pivotTable tabId="4" name="PivotTable4"/>
  </pivotTables>
  <data>
    <tabular pivotCacheId="1921483732">
      <items count="7">
        <i x="2" s="1"/>
        <i x="1" s="1"/>
        <i x="5" s="1"/>
        <i x="3" s="1"/>
        <i x="6"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1BBCD43-4D3A-4115-B428-166989E8FA2E}" sourceName="Sales Person">
  <pivotTables>
    <pivotTable tabId="4" name="PivotTable1"/>
    <pivotTable tabId="4" name="PivotTable2"/>
    <pivotTable tabId="4" name="PivotTable3"/>
    <pivotTable tabId="4" name="PivotTable4"/>
  </pivotTables>
  <data>
    <tabular pivotCacheId="1921483732">
      <items count="10">
        <i x="0" s="1"/>
        <i x="8" s="1"/>
        <i x="3" s="1"/>
        <i x="5" s="1"/>
        <i x="7" s="1"/>
        <i x="2" s="1"/>
        <i x="1" s="1"/>
        <i x="4"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419C6A6-B7B7-46BE-A9B3-21BBD6A4D147}" cache="Slicer_Region" caption="Region" columnCount="2" showCaption="0" style="SlicerStyleLight6" rowHeight="230716"/>
  <slicer name="Product" xr10:uid="{D5CC255E-83B7-4A6C-80CA-7F68511E7E89}" cache="Slicer_Product" caption="Product" style="SlicerStyleLight6" rowHeight="230716"/>
  <slicer name="Sales Person" xr10:uid="{B3A4D77F-AC17-414B-81BB-79F6C4BCF7D4}" cache="Slicer_Sales_Person" caption="Sales Person" style="SlicerStyleLight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A43C98-936E-4988-86E2-973819A1FE4A}" name="Table1" displayName="Table1" ref="A1:I51" totalsRowShown="0" headerRowDxfId="154" dataDxfId="153" dataCellStyle="Currency [0]">
  <autoFilter ref="A1:I51" xr:uid="{DBA43C98-936E-4988-86E2-973819A1FE4A}"/>
  <tableColumns count="9">
    <tableColumn id="1" xr3:uid="{B9984962-2402-42A0-8316-CA7BCA0B2C82}" name="Date" dataDxfId="152"/>
    <tableColumn id="2" xr3:uid="{70D478C7-A467-4E31-A3B4-B6C19E7AFD10}" name="Sales Person"/>
    <tableColumn id="3" xr3:uid="{9B9DDE19-A558-4BE8-9677-C2FAD34F8153}" name="Region"/>
    <tableColumn id="4" xr3:uid="{9560025B-3276-4EEE-A032-71BB0F630399}" name="Product"/>
    <tableColumn id="5" xr3:uid="{8587858C-F799-4501-986B-A2C941149F44}" name="Units Sold" dataDxfId="151"/>
    <tableColumn id="6" xr3:uid="{E8DEC29E-84DD-4CCB-9850-FEB5E6BD94F2}" name="Unit Price" dataDxfId="150" dataCellStyle="Currency [0]">
      <calculatedColumnFormula>IF(D2="Tent",6000,IF(D2="Blender",3500,IF(D2="Action Figure",1200,IF(D2="Novel",1000,IF(D2="Sneakers",4000,IF(D2="Smartphone",10000,IF(D2="moisturizer",600,"No Product Found")))))))</calculatedColumnFormula>
    </tableColumn>
    <tableColumn id="7" xr3:uid="{E0947B5D-EE60-4FF8-9EC7-39F0B6AFCC10}" name="Cost of Goods" dataDxfId="149" dataCellStyle="Currency [0]">
      <calculatedColumnFormula>IF(D2="Tent",4000,IF(D2="Blender",2500,IF(D2="Action Figure",800,IF(D2="Novel",700,IF(D2="Sneakers",3000,IF(D2="Smartphone",7000,IF(D2="moisturizer",400,"No Product Found")))))))</calculatedColumnFormula>
    </tableColumn>
    <tableColumn id="8" xr3:uid="{85E93A37-B026-455D-AA3B-DCA67F9CA931}" name="Total Sales" dataDxfId="148" dataCellStyle="Currency [0]">
      <calculatedColumnFormula>F2*E2</calculatedColumnFormula>
    </tableColumn>
    <tableColumn id="9" xr3:uid="{4598AE21-DB20-477D-878F-57736D27522D}" name="profit" dataDxfId="147">
      <calculatedColumnFormula>H2-(G2*E2)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zoomScaleNormal="100" workbookViewId="0">
      <selection activeCell="K6" sqref="K6"/>
    </sheetView>
  </sheetViews>
  <sheetFormatPr defaultRowHeight="14" x14ac:dyDescent="0.35"/>
  <cols>
    <col min="1" max="1" width="10" customWidth="1"/>
    <col min="2" max="2" width="16.1796875" customWidth="1"/>
    <col min="3" max="3" width="11" customWidth="1"/>
    <col min="4" max="4" width="11.36328125" customWidth="1"/>
    <col min="5" max="5" width="13.7265625" customWidth="1"/>
    <col min="6" max="6" width="13.1796875" customWidth="1"/>
    <col min="7" max="7" width="17.36328125" customWidth="1"/>
    <col min="8" max="8" width="14.453125" customWidth="1"/>
    <col min="9" max="9" width="12.08984375" customWidth="1"/>
    <col min="10" max="10" width="14.26953125" customWidth="1"/>
    <col min="11" max="11" width="14.6328125" customWidth="1"/>
  </cols>
  <sheetData>
    <row r="1" spans="1:11" ht="20.149999999999999" customHeight="1" thickBot="1" x14ac:dyDescent="0.4">
      <c r="A1" s="1" t="s">
        <v>0</v>
      </c>
      <c r="B1" s="1" t="s">
        <v>1</v>
      </c>
      <c r="C1" s="1" t="s">
        <v>2</v>
      </c>
      <c r="D1" s="1" t="s">
        <v>3</v>
      </c>
      <c r="E1" s="1" t="s">
        <v>4</v>
      </c>
      <c r="F1" s="1" t="s">
        <v>5</v>
      </c>
      <c r="G1" s="1" t="s">
        <v>6</v>
      </c>
      <c r="H1" s="1" t="s">
        <v>7</v>
      </c>
      <c r="I1" s="5" t="s">
        <v>29</v>
      </c>
      <c r="K1" s="5" t="s">
        <v>30</v>
      </c>
    </row>
    <row r="2" spans="1:11" ht="15" thickTop="1" x14ac:dyDescent="0.35">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 t="shared" ref="I2:I33" si="0">H2-(G2*E2)</f>
        <v>168000</v>
      </c>
      <c r="K2" s="13">
        <f>SUM(H2:H51)</f>
        <v>12944500</v>
      </c>
    </row>
    <row r="3" spans="1:11" ht="14.5" x14ac:dyDescent="0.35">
      <c r="A3" s="2">
        <v>44446</v>
      </c>
      <c r="B3" t="s">
        <v>11</v>
      </c>
      <c r="C3" t="s">
        <v>12</v>
      </c>
      <c r="D3" t="s">
        <v>13</v>
      </c>
      <c r="E3" s="3">
        <v>128</v>
      </c>
      <c r="F3" s="4">
        <f t="shared" ref="F3:F51" si="1">IF(D3="Tent",6000,IF(D3="Blender",3500,IF(D3="Action Figure",1200,IF(D3="Novel",1000,IF(D3="Sneakers",4000,IF(D3="Smartphone",10000,IF(D3="moisturizer",600,"No Product Found")))))))</f>
        <v>3500</v>
      </c>
      <c r="G3" s="4">
        <f t="shared" ref="G3:G51" si="2">IF(D3="Tent",4000,IF(D3="Blender",2500,IF(D3="Action Figure",800,IF(D3="Novel",700,IF(D3="Sneakers",3000,IF(D3="Smartphone",7000,IF(D3="moisturizer",400,"No Product Found")))))))</f>
        <v>2500</v>
      </c>
      <c r="H3" s="4">
        <f t="shared" ref="H3:H51" si="3">F3*E3</f>
        <v>448000</v>
      </c>
      <c r="I3" s="6">
        <f t="shared" si="0"/>
        <v>128000</v>
      </c>
      <c r="K3" s="7" t="s">
        <v>31</v>
      </c>
    </row>
    <row r="4" spans="1:11" ht="14.5" x14ac:dyDescent="0.35">
      <c r="A4" s="2">
        <v>44230</v>
      </c>
      <c r="B4" t="s">
        <v>14</v>
      </c>
      <c r="C4" t="s">
        <v>15</v>
      </c>
      <c r="D4" t="s">
        <v>16</v>
      </c>
      <c r="E4" s="3">
        <v>136</v>
      </c>
      <c r="F4" s="4">
        <f t="shared" si="1"/>
        <v>1200</v>
      </c>
      <c r="G4" s="4">
        <f t="shared" si="2"/>
        <v>800</v>
      </c>
      <c r="H4" s="4">
        <f t="shared" si="3"/>
        <v>163200</v>
      </c>
      <c r="I4" s="6">
        <f t="shared" si="0"/>
        <v>54400</v>
      </c>
      <c r="K4" s="8">
        <f>SUM(E2:E51)</f>
        <v>4705</v>
      </c>
    </row>
    <row r="5" spans="1:11" ht="14.5" x14ac:dyDescent="0.35">
      <c r="A5" s="2">
        <v>44085</v>
      </c>
      <c r="B5" t="s">
        <v>17</v>
      </c>
      <c r="C5" t="s">
        <v>18</v>
      </c>
      <c r="D5" t="s">
        <v>19</v>
      </c>
      <c r="E5" s="3">
        <v>91</v>
      </c>
      <c r="F5" s="4">
        <f t="shared" si="1"/>
        <v>1000</v>
      </c>
      <c r="G5" s="4">
        <f t="shared" si="2"/>
        <v>700</v>
      </c>
      <c r="H5" s="4">
        <f t="shared" si="3"/>
        <v>91000</v>
      </c>
      <c r="I5" s="6">
        <f t="shared" si="0"/>
        <v>27300</v>
      </c>
      <c r="K5" s="7" t="s">
        <v>32</v>
      </c>
    </row>
    <row r="6" spans="1:11" ht="14.5" x14ac:dyDescent="0.35">
      <c r="A6" s="2">
        <v>44462</v>
      </c>
      <c r="B6" t="s">
        <v>20</v>
      </c>
      <c r="C6" t="s">
        <v>9</v>
      </c>
      <c r="D6" t="s">
        <v>21</v>
      </c>
      <c r="E6" s="3">
        <v>110</v>
      </c>
      <c r="F6" s="4">
        <f t="shared" si="1"/>
        <v>4000</v>
      </c>
      <c r="G6" s="4">
        <f t="shared" si="2"/>
        <v>3000</v>
      </c>
      <c r="H6" s="4">
        <f t="shared" si="3"/>
        <v>440000</v>
      </c>
      <c r="I6" s="6">
        <f t="shared" si="0"/>
        <v>110000</v>
      </c>
      <c r="K6" s="13">
        <f>SUM(I2:I51)</f>
        <v>3834400</v>
      </c>
    </row>
    <row r="7" spans="1:11" ht="14.5" x14ac:dyDescent="0.35">
      <c r="A7" s="2">
        <v>44105</v>
      </c>
      <c r="B7" t="s">
        <v>22</v>
      </c>
      <c r="C7" t="s">
        <v>12</v>
      </c>
      <c r="D7" t="s">
        <v>16</v>
      </c>
      <c r="E7" s="3">
        <v>51</v>
      </c>
      <c r="F7" s="4">
        <f t="shared" si="1"/>
        <v>1200</v>
      </c>
      <c r="G7" s="4">
        <f t="shared" si="2"/>
        <v>800</v>
      </c>
      <c r="H7" s="4">
        <f t="shared" si="3"/>
        <v>61200</v>
      </c>
      <c r="I7" s="6">
        <f t="shared" si="0"/>
        <v>20400</v>
      </c>
      <c r="K7" s="7" t="s">
        <v>33</v>
      </c>
    </row>
    <row r="8" spans="1:11" ht="14.5" x14ac:dyDescent="0.35">
      <c r="A8" s="2">
        <v>44413</v>
      </c>
      <c r="B8" t="s">
        <v>23</v>
      </c>
      <c r="C8" t="s">
        <v>18</v>
      </c>
      <c r="D8" t="s">
        <v>19</v>
      </c>
      <c r="E8" s="3">
        <v>78</v>
      </c>
      <c r="F8" s="4">
        <f t="shared" si="1"/>
        <v>1000</v>
      </c>
      <c r="G8" s="4">
        <f t="shared" si="2"/>
        <v>700</v>
      </c>
      <c r="H8" s="4">
        <f t="shared" si="3"/>
        <v>78000</v>
      </c>
      <c r="I8" s="6">
        <f t="shared" si="0"/>
        <v>23400</v>
      </c>
      <c r="K8" s="13">
        <f>AVERAGE(H2:H51)</f>
        <v>258890</v>
      </c>
    </row>
    <row r="9" spans="1:11" ht="14.5" x14ac:dyDescent="0.35">
      <c r="A9" s="2">
        <v>44141</v>
      </c>
      <c r="B9" t="s">
        <v>24</v>
      </c>
      <c r="C9" t="s">
        <v>15</v>
      </c>
      <c r="D9" t="s">
        <v>10</v>
      </c>
      <c r="E9" s="3">
        <v>146</v>
      </c>
      <c r="F9" s="4">
        <f t="shared" si="1"/>
        <v>6000</v>
      </c>
      <c r="G9" s="4">
        <f t="shared" si="2"/>
        <v>4000</v>
      </c>
      <c r="H9" s="4">
        <f t="shared" si="3"/>
        <v>876000</v>
      </c>
      <c r="I9" s="6">
        <f t="shared" si="0"/>
        <v>292000</v>
      </c>
    </row>
    <row r="10" spans="1:11" ht="14.5" x14ac:dyDescent="0.35">
      <c r="A10" s="2">
        <v>44223</v>
      </c>
      <c r="B10" t="s">
        <v>25</v>
      </c>
      <c r="C10" t="s">
        <v>9</v>
      </c>
      <c r="D10" t="s">
        <v>26</v>
      </c>
      <c r="E10" s="3">
        <v>101</v>
      </c>
      <c r="F10" s="4">
        <f t="shared" si="1"/>
        <v>600</v>
      </c>
      <c r="G10" s="4">
        <f t="shared" si="2"/>
        <v>400</v>
      </c>
      <c r="H10" s="4">
        <f t="shared" si="3"/>
        <v>60600</v>
      </c>
      <c r="I10" s="6">
        <f t="shared" si="0"/>
        <v>20200</v>
      </c>
    </row>
    <row r="11" spans="1:11" ht="14.5" x14ac:dyDescent="0.35">
      <c r="A11" s="2">
        <v>44442</v>
      </c>
      <c r="B11" t="s">
        <v>27</v>
      </c>
      <c r="C11" t="s">
        <v>15</v>
      </c>
      <c r="D11" t="s">
        <v>10</v>
      </c>
      <c r="E11" s="3">
        <v>52</v>
      </c>
      <c r="F11" s="4">
        <f t="shared" si="1"/>
        <v>6000</v>
      </c>
      <c r="G11" s="4">
        <f t="shared" si="2"/>
        <v>4000</v>
      </c>
      <c r="H11" s="4">
        <f t="shared" si="3"/>
        <v>312000</v>
      </c>
      <c r="I11" s="6">
        <f t="shared" si="0"/>
        <v>104000</v>
      </c>
    </row>
    <row r="12" spans="1:11" ht="14.5" x14ac:dyDescent="0.35">
      <c r="A12" s="2">
        <v>44469</v>
      </c>
      <c r="B12" t="s">
        <v>27</v>
      </c>
      <c r="C12" t="s">
        <v>12</v>
      </c>
      <c r="D12" t="s">
        <v>16</v>
      </c>
      <c r="E12" s="3">
        <v>55</v>
      </c>
      <c r="F12" s="4">
        <f t="shared" si="1"/>
        <v>1200</v>
      </c>
      <c r="G12" s="4">
        <f t="shared" si="2"/>
        <v>800</v>
      </c>
      <c r="H12" s="4">
        <f t="shared" si="3"/>
        <v>66000</v>
      </c>
      <c r="I12" s="6">
        <f t="shared" si="0"/>
        <v>22000</v>
      </c>
    </row>
    <row r="13" spans="1:11" ht="14.5" x14ac:dyDescent="0.35">
      <c r="A13" s="2">
        <v>44084</v>
      </c>
      <c r="B13" t="s">
        <v>27</v>
      </c>
      <c r="C13" t="s">
        <v>15</v>
      </c>
      <c r="D13" t="s">
        <v>19</v>
      </c>
      <c r="E13" s="3">
        <v>137</v>
      </c>
      <c r="F13" s="4">
        <f t="shared" si="1"/>
        <v>1000</v>
      </c>
      <c r="G13" s="4">
        <f t="shared" si="2"/>
        <v>700</v>
      </c>
      <c r="H13" s="4">
        <f t="shared" si="3"/>
        <v>137000</v>
      </c>
      <c r="I13" s="6">
        <f t="shared" si="0"/>
        <v>41100</v>
      </c>
    </row>
    <row r="14" spans="1:11" ht="14.5" x14ac:dyDescent="0.35">
      <c r="A14" s="2">
        <v>44404</v>
      </c>
      <c r="B14" t="s">
        <v>24</v>
      </c>
      <c r="C14" t="s">
        <v>15</v>
      </c>
      <c r="D14" t="s">
        <v>13</v>
      </c>
      <c r="E14" s="3">
        <v>96</v>
      </c>
      <c r="F14" s="4">
        <f t="shared" si="1"/>
        <v>3500</v>
      </c>
      <c r="G14" s="4">
        <f t="shared" si="2"/>
        <v>2500</v>
      </c>
      <c r="H14" s="4">
        <f t="shared" si="3"/>
        <v>336000</v>
      </c>
      <c r="I14" s="6">
        <f t="shared" si="0"/>
        <v>96000</v>
      </c>
    </row>
    <row r="15" spans="1:11" ht="14.5" x14ac:dyDescent="0.35">
      <c r="A15" s="2">
        <v>44113</v>
      </c>
      <c r="B15" t="s">
        <v>25</v>
      </c>
      <c r="C15" t="s">
        <v>12</v>
      </c>
      <c r="D15" t="s">
        <v>21</v>
      </c>
      <c r="E15" s="3">
        <v>52</v>
      </c>
      <c r="F15" s="4">
        <f t="shared" si="1"/>
        <v>4000</v>
      </c>
      <c r="G15" s="4">
        <f t="shared" si="2"/>
        <v>3000</v>
      </c>
      <c r="H15" s="4">
        <f t="shared" si="3"/>
        <v>208000</v>
      </c>
      <c r="I15" s="6">
        <f t="shared" si="0"/>
        <v>52000</v>
      </c>
    </row>
    <row r="16" spans="1:11" ht="14.5" x14ac:dyDescent="0.35">
      <c r="A16" s="2">
        <v>44292</v>
      </c>
      <c r="B16" t="s">
        <v>17</v>
      </c>
      <c r="C16" t="s">
        <v>9</v>
      </c>
      <c r="D16" t="s">
        <v>13</v>
      </c>
      <c r="E16" s="3">
        <v>76</v>
      </c>
      <c r="F16" s="4">
        <f t="shared" si="1"/>
        <v>3500</v>
      </c>
      <c r="G16" s="4">
        <f t="shared" si="2"/>
        <v>2500</v>
      </c>
      <c r="H16" s="4">
        <f t="shared" si="3"/>
        <v>266000</v>
      </c>
      <c r="I16" s="6">
        <f t="shared" si="0"/>
        <v>76000</v>
      </c>
    </row>
    <row r="17" spans="1:9" ht="14.5" x14ac:dyDescent="0.35">
      <c r="A17" s="2">
        <v>44362</v>
      </c>
      <c r="B17" t="s">
        <v>11</v>
      </c>
      <c r="C17" t="s">
        <v>18</v>
      </c>
      <c r="D17" t="s">
        <v>21</v>
      </c>
      <c r="E17" s="3">
        <v>145</v>
      </c>
      <c r="F17" s="4">
        <f t="shared" si="1"/>
        <v>4000</v>
      </c>
      <c r="G17" s="4">
        <f t="shared" si="2"/>
        <v>3000</v>
      </c>
      <c r="H17" s="4">
        <f t="shared" si="3"/>
        <v>580000</v>
      </c>
      <c r="I17" s="6">
        <f t="shared" si="0"/>
        <v>145000</v>
      </c>
    </row>
    <row r="18" spans="1:9" ht="14.5" x14ac:dyDescent="0.35">
      <c r="A18" s="2">
        <v>44083</v>
      </c>
      <c r="B18" t="s">
        <v>8</v>
      </c>
      <c r="C18" t="s">
        <v>15</v>
      </c>
      <c r="D18" t="s">
        <v>26</v>
      </c>
      <c r="E18" s="3">
        <v>83</v>
      </c>
      <c r="F18" s="4">
        <f t="shared" si="1"/>
        <v>600</v>
      </c>
      <c r="G18" s="4">
        <f t="shared" si="2"/>
        <v>400</v>
      </c>
      <c r="H18" s="4">
        <f t="shared" si="3"/>
        <v>49800</v>
      </c>
      <c r="I18" s="6">
        <f t="shared" si="0"/>
        <v>16600</v>
      </c>
    </row>
    <row r="19" spans="1:9" ht="14.5" x14ac:dyDescent="0.35">
      <c r="A19" s="2">
        <v>44421</v>
      </c>
      <c r="B19" t="s">
        <v>20</v>
      </c>
      <c r="C19" t="s">
        <v>15</v>
      </c>
      <c r="D19" t="s">
        <v>19</v>
      </c>
      <c r="E19" s="3">
        <v>91</v>
      </c>
      <c r="F19" s="4">
        <f t="shared" si="1"/>
        <v>1000</v>
      </c>
      <c r="G19" s="4">
        <f t="shared" si="2"/>
        <v>700</v>
      </c>
      <c r="H19" s="4">
        <f t="shared" si="3"/>
        <v>91000</v>
      </c>
      <c r="I19" s="6">
        <f t="shared" si="0"/>
        <v>27300</v>
      </c>
    </row>
    <row r="20" spans="1:9" ht="14.5" x14ac:dyDescent="0.35">
      <c r="A20" s="2">
        <v>44070</v>
      </c>
      <c r="B20" t="s">
        <v>22</v>
      </c>
      <c r="C20" t="s">
        <v>9</v>
      </c>
      <c r="D20" t="s">
        <v>28</v>
      </c>
      <c r="E20" s="3">
        <v>108</v>
      </c>
      <c r="F20" s="4">
        <f t="shared" si="1"/>
        <v>10000</v>
      </c>
      <c r="G20" s="4">
        <f t="shared" si="2"/>
        <v>7000</v>
      </c>
      <c r="H20" s="4">
        <f t="shared" si="3"/>
        <v>1080000</v>
      </c>
      <c r="I20" s="6">
        <f t="shared" si="0"/>
        <v>324000</v>
      </c>
    </row>
    <row r="21" spans="1:9" ht="14.5" x14ac:dyDescent="0.35">
      <c r="A21" s="2">
        <v>44293</v>
      </c>
      <c r="B21" t="s">
        <v>14</v>
      </c>
      <c r="C21" t="s">
        <v>18</v>
      </c>
      <c r="D21" t="s">
        <v>21</v>
      </c>
      <c r="E21" s="3">
        <v>144</v>
      </c>
      <c r="F21" s="4">
        <f t="shared" si="1"/>
        <v>4000</v>
      </c>
      <c r="G21" s="4">
        <f t="shared" si="2"/>
        <v>3000</v>
      </c>
      <c r="H21" s="4">
        <f t="shared" si="3"/>
        <v>576000</v>
      </c>
      <c r="I21" s="6">
        <f t="shared" si="0"/>
        <v>144000</v>
      </c>
    </row>
    <row r="22" spans="1:9" ht="14.5" x14ac:dyDescent="0.35">
      <c r="A22" s="2">
        <v>43990</v>
      </c>
      <c r="B22" t="s">
        <v>20</v>
      </c>
      <c r="C22" t="s">
        <v>15</v>
      </c>
      <c r="D22" t="s">
        <v>26</v>
      </c>
      <c r="E22" s="3">
        <v>92</v>
      </c>
      <c r="F22" s="4">
        <f t="shared" si="1"/>
        <v>600</v>
      </c>
      <c r="G22" s="4">
        <f t="shared" si="2"/>
        <v>400</v>
      </c>
      <c r="H22" s="4">
        <f t="shared" si="3"/>
        <v>55200</v>
      </c>
      <c r="I22" s="6">
        <f t="shared" si="0"/>
        <v>18400</v>
      </c>
    </row>
    <row r="23" spans="1:9" ht="14.5" x14ac:dyDescent="0.35">
      <c r="A23" s="2">
        <v>44551</v>
      </c>
      <c r="B23" t="s">
        <v>24</v>
      </c>
      <c r="C23" t="s">
        <v>9</v>
      </c>
      <c r="D23" t="s">
        <v>10</v>
      </c>
      <c r="E23" s="3">
        <v>71</v>
      </c>
      <c r="F23" s="4">
        <f t="shared" si="1"/>
        <v>6000</v>
      </c>
      <c r="G23" s="4">
        <f t="shared" si="2"/>
        <v>4000</v>
      </c>
      <c r="H23" s="4">
        <f t="shared" si="3"/>
        <v>426000</v>
      </c>
      <c r="I23" s="6">
        <f t="shared" si="0"/>
        <v>142000</v>
      </c>
    </row>
    <row r="24" spans="1:9" ht="14.5" x14ac:dyDescent="0.35">
      <c r="A24" s="2">
        <v>44418</v>
      </c>
      <c r="B24" t="s">
        <v>8</v>
      </c>
      <c r="C24" t="s">
        <v>12</v>
      </c>
      <c r="D24" t="s">
        <v>26</v>
      </c>
      <c r="E24" s="3">
        <v>103</v>
      </c>
      <c r="F24" s="4">
        <f t="shared" si="1"/>
        <v>600</v>
      </c>
      <c r="G24" s="4">
        <f t="shared" si="2"/>
        <v>400</v>
      </c>
      <c r="H24" s="4">
        <f t="shared" si="3"/>
        <v>61800</v>
      </c>
      <c r="I24" s="6">
        <f t="shared" si="0"/>
        <v>20600</v>
      </c>
    </row>
    <row r="25" spans="1:9" ht="14.5" x14ac:dyDescent="0.35">
      <c r="A25" s="2">
        <v>44532</v>
      </c>
      <c r="B25" t="s">
        <v>27</v>
      </c>
      <c r="C25" t="s">
        <v>18</v>
      </c>
      <c r="D25" t="s">
        <v>19</v>
      </c>
      <c r="E25" s="3">
        <v>55</v>
      </c>
      <c r="F25" s="4">
        <f t="shared" si="1"/>
        <v>1000</v>
      </c>
      <c r="G25" s="4">
        <f t="shared" si="2"/>
        <v>700</v>
      </c>
      <c r="H25" s="4">
        <f t="shared" si="3"/>
        <v>55000</v>
      </c>
      <c r="I25" s="6">
        <f t="shared" si="0"/>
        <v>16500</v>
      </c>
    </row>
    <row r="26" spans="1:9" ht="14.5" x14ac:dyDescent="0.35">
      <c r="A26" s="2">
        <v>44438</v>
      </c>
      <c r="B26" t="s">
        <v>22</v>
      </c>
      <c r="C26" t="s">
        <v>12</v>
      </c>
      <c r="D26" t="s">
        <v>21</v>
      </c>
      <c r="E26" s="3">
        <v>93</v>
      </c>
      <c r="F26" s="4">
        <f t="shared" si="1"/>
        <v>4000</v>
      </c>
      <c r="G26" s="4">
        <f t="shared" si="2"/>
        <v>3000</v>
      </c>
      <c r="H26" s="4">
        <f t="shared" si="3"/>
        <v>372000</v>
      </c>
      <c r="I26" s="6">
        <f t="shared" si="0"/>
        <v>93000</v>
      </c>
    </row>
    <row r="27" spans="1:9" ht="14.5" x14ac:dyDescent="0.35">
      <c r="A27" s="2">
        <v>43971</v>
      </c>
      <c r="B27" t="s">
        <v>14</v>
      </c>
      <c r="C27" t="s">
        <v>15</v>
      </c>
      <c r="D27" t="s">
        <v>26</v>
      </c>
      <c r="E27" s="3">
        <v>143</v>
      </c>
      <c r="F27" s="4">
        <f t="shared" si="1"/>
        <v>600</v>
      </c>
      <c r="G27" s="4">
        <f t="shared" si="2"/>
        <v>400</v>
      </c>
      <c r="H27" s="4">
        <f t="shared" si="3"/>
        <v>85800</v>
      </c>
      <c r="I27" s="6">
        <f t="shared" si="0"/>
        <v>28600</v>
      </c>
    </row>
    <row r="28" spans="1:9" ht="14.5" x14ac:dyDescent="0.35">
      <c r="A28" s="2">
        <v>44452</v>
      </c>
      <c r="B28" t="s">
        <v>23</v>
      </c>
      <c r="C28" t="s">
        <v>9</v>
      </c>
      <c r="D28" t="s">
        <v>13</v>
      </c>
      <c r="E28" s="3">
        <v>143</v>
      </c>
      <c r="F28" s="4">
        <f t="shared" si="1"/>
        <v>3500</v>
      </c>
      <c r="G28" s="4">
        <f t="shared" si="2"/>
        <v>2500</v>
      </c>
      <c r="H28" s="4">
        <f t="shared" si="3"/>
        <v>500500</v>
      </c>
      <c r="I28" s="6">
        <f t="shared" si="0"/>
        <v>143000</v>
      </c>
    </row>
    <row r="29" spans="1:9" ht="14.5" x14ac:dyDescent="0.35">
      <c r="A29" s="2">
        <v>44496</v>
      </c>
      <c r="B29" t="s">
        <v>25</v>
      </c>
      <c r="C29" t="s">
        <v>18</v>
      </c>
      <c r="D29" t="s">
        <v>26</v>
      </c>
      <c r="E29" s="3">
        <v>99</v>
      </c>
      <c r="F29" s="4">
        <f t="shared" si="1"/>
        <v>600</v>
      </c>
      <c r="G29" s="4">
        <f t="shared" si="2"/>
        <v>400</v>
      </c>
      <c r="H29" s="4">
        <f t="shared" si="3"/>
        <v>59400</v>
      </c>
      <c r="I29" s="6">
        <f t="shared" si="0"/>
        <v>19800</v>
      </c>
    </row>
    <row r="30" spans="1:9" ht="14.5" x14ac:dyDescent="0.35">
      <c r="A30" s="2">
        <v>44187</v>
      </c>
      <c r="B30" t="s">
        <v>17</v>
      </c>
      <c r="C30" t="s">
        <v>9</v>
      </c>
      <c r="D30" t="s">
        <v>19</v>
      </c>
      <c r="E30" s="3">
        <v>120</v>
      </c>
      <c r="F30" s="4">
        <f t="shared" si="1"/>
        <v>1000</v>
      </c>
      <c r="G30" s="4">
        <f t="shared" si="2"/>
        <v>700</v>
      </c>
      <c r="H30" s="4">
        <f t="shared" si="3"/>
        <v>120000</v>
      </c>
      <c r="I30" s="6">
        <f t="shared" si="0"/>
        <v>36000</v>
      </c>
    </row>
    <row r="31" spans="1:9" ht="14.5" x14ac:dyDescent="0.35">
      <c r="A31" s="2">
        <v>44405</v>
      </c>
      <c r="B31" t="s">
        <v>11</v>
      </c>
      <c r="C31" t="s">
        <v>15</v>
      </c>
      <c r="D31" t="s">
        <v>13</v>
      </c>
      <c r="E31" s="3">
        <v>66</v>
      </c>
      <c r="F31" s="4">
        <f t="shared" si="1"/>
        <v>3500</v>
      </c>
      <c r="G31" s="4">
        <f t="shared" si="2"/>
        <v>2500</v>
      </c>
      <c r="H31" s="4">
        <f t="shared" si="3"/>
        <v>231000</v>
      </c>
      <c r="I31" s="6">
        <f t="shared" si="0"/>
        <v>66000</v>
      </c>
    </row>
    <row r="32" spans="1:9" ht="14.5" x14ac:dyDescent="0.35">
      <c r="A32" s="2">
        <v>44103</v>
      </c>
      <c r="B32" t="s">
        <v>25</v>
      </c>
      <c r="C32" t="s">
        <v>18</v>
      </c>
      <c r="D32" t="s">
        <v>16</v>
      </c>
      <c r="E32" s="3">
        <v>88</v>
      </c>
      <c r="F32" s="4">
        <f t="shared" si="1"/>
        <v>1200</v>
      </c>
      <c r="G32" s="4">
        <f t="shared" si="2"/>
        <v>800</v>
      </c>
      <c r="H32" s="4">
        <f t="shared" si="3"/>
        <v>105600</v>
      </c>
      <c r="I32" s="6">
        <f t="shared" si="0"/>
        <v>35200</v>
      </c>
    </row>
    <row r="33" spans="1:9" ht="14.5" x14ac:dyDescent="0.35">
      <c r="A33" s="2">
        <v>44126</v>
      </c>
      <c r="B33" t="s">
        <v>17</v>
      </c>
      <c r="C33" t="s">
        <v>12</v>
      </c>
      <c r="D33" t="s">
        <v>28</v>
      </c>
      <c r="E33" s="3">
        <v>127</v>
      </c>
      <c r="F33" s="4">
        <f t="shared" si="1"/>
        <v>10000</v>
      </c>
      <c r="G33" s="4">
        <f t="shared" si="2"/>
        <v>7000</v>
      </c>
      <c r="H33" s="4">
        <f t="shared" si="3"/>
        <v>1270000</v>
      </c>
      <c r="I33" s="6">
        <f t="shared" si="0"/>
        <v>381000</v>
      </c>
    </row>
    <row r="34" spans="1:9" ht="14.5" x14ac:dyDescent="0.35">
      <c r="A34" s="2">
        <v>43970</v>
      </c>
      <c r="B34" t="s">
        <v>20</v>
      </c>
      <c r="C34" t="s">
        <v>9</v>
      </c>
      <c r="D34" t="s">
        <v>21</v>
      </c>
      <c r="E34" s="3">
        <v>67</v>
      </c>
      <c r="F34" s="4">
        <f t="shared" si="1"/>
        <v>4000</v>
      </c>
      <c r="G34" s="4">
        <f t="shared" si="2"/>
        <v>3000</v>
      </c>
      <c r="H34" s="4">
        <f t="shared" si="3"/>
        <v>268000</v>
      </c>
      <c r="I34" s="6">
        <f t="shared" ref="I34:I51" si="4">H34-(G34*E34)</f>
        <v>67000</v>
      </c>
    </row>
    <row r="35" spans="1:9" ht="14.5" x14ac:dyDescent="0.35">
      <c r="A35" s="2">
        <v>44536</v>
      </c>
      <c r="B35" t="s">
        <v>11</v>
      </c>
      <c r="C35" t="s">
        <v>12</v>
      </c>
      <c r="D35" t="s">
        <v>16</v>
      </c>
      <c r="E35" s="3">
        <v>67</v>
      </c>
      <c r="F35" s="4">
        <f t="shared" si="1"/>
        <v>1200</v>
      </c>
      <c r="G35" s="4">
        <f t="shared" si="2"/>
        <v>800</v>
      </c>
      <c r="H35" s="4">
        <f t="shared" si="3"/>
        <v>80400</v>
      </c>
      <c r="I35" s="6">
        <f t="shared" si="4"/>
        <v>26800</v>
      </c>
    </row>
    <row r="36" spans="1:9" ht="14.5" x14ac:dyDescent="0.35">
      <c r="A36" s="2">
        <v>44069</v>
      </c>
      <c r="B36" t="s">
        <v>27</v>
      </c>
      <c r="C36" t="s">
        <v>15</v>
      </c>
      <c r="D36" t="s">
        <v>19</v>
      </c>
      <c r="E36" s="3">
        <v>149</v>
      </c>
      <c r="F36" s="4">
        <f t="shared" si="1"/>
        <v>1000</v>
      </c>
      <c r="G36" s="4">
        <f t="shared" si="2"/>
        <v>700</v>
      </c>
      <c r="H36" s="4">
        <f t="shared" si="3"/>
        <v>149000</v>
      </c>
      <c r="I36" s="6">
        <f t="shared" si="4"/>
        <v>44700</v>
      </c>
    </row>
    <row r="37" spans="1:9" ht="14.5" x14ac:dyDescent="0.35">
      <c r="A37" s="2">
        <v>44378</v>
      </c>
      <c r="B37" t="s">
        <v>20</v>
      </c>
      <c r="C37" t="s">
        <v>18</v>
      </c>
      <c r="D37" t="s">
        <v>26</v>
      </c>
      <c r="E37" s="3">
        <v>104</v>
      </c>
      <c r="F37" s="4">
        <f t="shared" si="1"/>
        <v>600</v>
      </c>
      <c r="G37" s="4">
        <f t="shared" si="2"/>
        <v>400</v>
      </c>
      <c r="H37" s="4">
        <f t="shared" si="3"/>
        <v>62400</v>
      </c>
      <c r="I37" s="6">
        <f t="shared" si="4"/>
        <v>20800</v>
      </c>
    </row>
    <row r="38" spans="1:9" ht="14.5" x14ac:dyDescent="0.35">
      <c r="A38" s="2">
        <v>44404</v>
      </c>
      <c r="B38" t="s">
        <v>24</v>
      </c>
      <c r="C38" t="s">
        <v>9</v>
      </c>
      <c r="D38" t="s">
        <v>26</v>
      </c>
      <c r="E38" s="3">
        <v>57</v>
      </c>
      <c r="F38" s="4">
        <f t="shared" si="1"/>
        <v>600</v>
      </c>
      <c r="G38" s="4">
        <f t="shared" si="2"/>
        <v>400</v>
      </c>
      <c r="H38" s="4">
        <f t="shared" si="3"/>
        <v>34200</v>
      </c>
      <c r="I38" s="6">
        <f t="shared" si="4"/>
        <v>11400</v>
      </c>
    </row>
    <row r="39" spans="1:9" ht="14.5" x14ac:dyDescent="0.35">
      <c r="A39" s="2">
        <v>44109</v>
      </c>
      <c r="B39" t="s">
        <v>14</v>
      </c>
      <c r="C39" t="s">
        <v>12</v>
      </c>
      <c r="D39" t="s">
        <v>26</v>
      </c>
      <c r="E39" s="3">
        <v>90</v>
      </c>
      <c r="F39" s="4">
        <f t="shared" si="1"/>
        <v>600</v>
      </c>
      <c r="G39" s="4">
        <f t="shared" si="2"/>
        <v>400</v>
      </c>
      <c r="H39" s="4">
        <f t="shared" si="3"/>
        <v>54000</v>
      </c>
      <c r="I39" s="6">
        <f t="shared" si="4"/>
        <v>18000</v>
      </c>
    </row>
    <row r="40" spans="1:9" ht="14.5" x14ac:dyDescent="0.35">
      <c r="A40" s="2">
        <v>44076</v>
      </c>
      <c r="B40" t="s">
        <v>22</v>
      </c>
      <c r="C40" t="s">
        <v>15</v>
      </c>
      <c r="D40" t="s">
        <v>26</v>
      </c>
      <c r="E40" s="3">
        <v>67</v>
      </c>
      <c r="F40" s="4">
        <f t="shared" si="1"/>
        <v>600</v>
      </c>
      <c r="G40" s="4">
        <f t="shared" si="2"/>
        <v>400</v>
      </c>
      <c r="H40" s="4">
        <f t="shared" si="3"/>
        <v>40200</v>
      </c>
      <c r="I40" s="6">
        <f t="shared" si="4"/>
        <v>13400</v>
      </c>
    </row>
    <row r="41" spans="1:9" ht="14.5" x14ac:dyDescent="0.35">
      <c r="A41" s="2">
        <v>44441</v>
      </c>
      <c r="B41" t="s">
        <v>8</v>
      </c>
      <c r="C41" t="s">
        <v>18</v>
      </c>
      <c r="D41" t="s">
        <v>21</v>
      </c>
      <c r="E41" s="3">
        <v>127</v>
      </c>
      <c r="F41" s="4">
        <f t="shared" si="1"/>
        <v>4000</v>
      </c>
      <c r="G41" s="4">
        <f t="shared" si="2"/>
        <v>3000</v>
      </c>
      <c r="H41" s="4">
        <f t="shared" si="3"/>
        <v>508000</v>
      </c>
      <c r="I41" s="6">
        <f t="shared" si="4"/>
        <v>127000</v>
      </c>
    </row>
    <row r="42" spans="1:9" ht="14.5" x14ac:dyDescent="0.35">
      <c r="A42" s="2">
        <v>44299</v>
      </c>
      <c r="B42" t="s">
        <v>22</v>
      </c>
      <c r="C42" t="s">
        <v>9</v>
      </c>
      <c r="D42" t="s">
        <v>19</v>
      </c>
      <c r="E42" s="3">
        <v>108</v>
      </c>
      <c r="F42" s="4">
        <f t="shared" si="1"/>
        <v>1000</v>
      </c>
      <c r="G42" s="4">
        <f t="shared" si="2"/>
        <v>700</v>
      </c>
      <c r="H42" s="4">
        <f t="shared" si="3"/>
        <v>108000</v>
      </c>
      <c r="I42" s="6">
        <f t="shared" si="4"/>
        <v>32400</v>
      </c>
    </row>
    <row r="43" spans="1:9" ht="14.5" x14ac:dyDescent="0.35">
      <c r="A43" s="2">
        <v>44322</v>
      </c>
      <c r="B43" t="s">
        <v>14</v>
      </c>
      <c r="C43" t="s">
        <v>12</v>
      </c>
      <c r="D43" t="s">
        <v>13</v>
      </c>
      <c r="E43" s="3">
        <v>66</v>
      </c>
      <c r="F43" s="4">
        <f t="shared" si="1"/>
        <v>3500</v>
      </c>
      <c r="G43" s="4">
        <f t="shared" si="2"/>
        <v>2500</v>
      </c>
      <c r="H43" s="4">
        <f t="shared" si="3"/>
        <v>231000</v>
      </c>
      <c r="I43" s="6">
        <f t="shared" si="4"/>
        <v>66000</v>
      </c>
    </row>
    <row r="44" spans="1:9" ht="14.5" x14ac:dyDescent="0.35">
      <c r="A44" s="2">
        <v>44211</v>
      </c>
      <c r="B44" t="s">
        <v>8</v>
      </c>
      <c r="C44" t="s">
        <v>18</v>
      </c>
      <c r="D44" t="s">
        <v>10</v>
      </c>
      <c r="E44" s="3">
        <v>78</v>
      </c>
      <c r="F44" s="4">
        <f t="shared" si="1"/>
        <v>6000</v>
      </c>
      <c r="G44" s="4">
        <f t="shared" si="2"/>
        <v>4000</v>
      </c>
      <c r="H44" s="4">
        <f t="shared" si="3"/>
        <v>468000</v>
      </c>
      <c r="I44" s="6">
        <f t="shared" si="4"/>
        <v>156000</v>
      </c>
    </row>
    <row r="45" spans="1:9" ht="14.5" x14ac:dyDescent="0.35">
      <c r="A45" s="2">
        <v>44070</v>
      </c>
      <c r="B45" t="s">
        <v>24</v>
      </c>
      <c r="C45" t="s">
        <v>15</v>
      </c>
      <c r="D45" t="s">
        <v>19</v>
      </c>
      <c r="E45" s="3">
        <v>69</v>
      </c>
      <c r="F45" s="4">
        <f t="shared" si="1"/>
        <v>1000</v>
      </c>
      <c r="G45" s="4">
        <f t="shared" si="2"/>
        <v>700</v>
      </c>
      <c r="H45" s="4">
        <f t="shared" si="3"/>
        <v>69000</v>
      </c>
      <c r="I45" s="6">
        <f t="shared" si="4"/>
        <v>20700</v>
      </c>
    </row>
    <row r="46" spans="1:9" ht="14.5" x14ac:dyDescent="0.35">
      <c r="A46" s="2">
        <v>44232</v>
      </c>
      <c r="B46" t="s">
        <v>20</v>
      </c>
      <c r="C46" t="s">
        <v>9</v>
      </c>
      <c r="D46" t="s">
        <v>16</v>
      </c>
      <c r="E46" s="3">
        <v>59</v>
      </c>
      <c r="F46" s="4">
        <f t="shared" si="1"/>
        <v>1200</v>
      </c>
      <c r="G46" s="4">
        <f t="shared" si="2"/>
        <v>800</v>
      </c>
      <c r="H46" s="4">
        <f t="shared" si="3"/>
        <v>70800</v>
      </c>
      <c r="I46" s="6">
        <f t="shared" si="4"/>
        <v>23600</v>
      </c>
    </row>
    <row r="47" spans="1:9" ht="14.5" x14ac:dyDescent="0.35">
      <c r="A47" s="2">
        <v>44517</v>
      </c>
      <c r="B47" t="s">
        <v>27</v>
      </c>
      <c r="C47" t="s">
        <v>15</v>
      </c>
      <c r="D47" t="s">
        <v>26</v>
      </c>
      <c r="E47" s="3">
        <v>109</v>
      </c>
      <c r="F47" s="4">
        <f t="shared" si="1"/>
        <v>600</v>
      </c>
      <c r="G47" s="4">
        <f t="shared" si="2"/>
        <v>400</v>
      </c>
      <c r="H47" s="4">
        <f t="shared" si="3"/>
        <v>65400</v>
      </c>
      <c r="I47" s="6">
        <f t="shared" si="4"/>
        <v>21800</v>
      </c>
    </row>
    <row r="48" spans="1:9" ht="14.5" x14ac:dyDescent="0.35">
      <c r="A48" s="2">
        <v>44193</v>
      </c>
      <c r="B48" t="s">
        <v>25</v>
      </c>
      <c r="C48" t="s">
        <v>12</v>
      </c>
      <c r="D48" t="s">
        <v>21</v>
      </c>
      <c r="E48" s="3">
        <v>61</v>
      </c>
      <c r="F48" s="4">
        <f t="shared" si="1"/>
        <v>4000</v>
      </c>
      <c r="G48" s="4">
        <f t="shared" si="2"/>
        <v>3000</v>
      </c>
      <c r="H48" s="4">
        <f t="shared" si="3"/>
        <v>244000</v>
      </c>
      <c r="I48" s="6">
        <f t="shared" si="4"/>
        <v>61000</v>
      </c>
    </row>
    <row r="49" spans="1:9" ht="14.5" x14ac:dyDescent="0.35">
      <c r="A49" s="2">
        <v>44496</v>
      </c>
      <c r="B49" t="s">
        <v>20</v>
      </c>
      <c r="C49" t="s">
        <v>18</v>
      </c>
      <c r="D49" t="s">
        <v>26</v>
      </c>
      <c r="E49" s="3">
        <v>130</v>
      </c>
      <c r="F49" s="4">
        <f t="shared" si="1"/>
        <v>600</v>
      </c>
      <c r="G49" s="4">
        <f t="shared" si="2"/>
        <v>400</v>
      </c>
      <c r="H49" s="4">
        <f t="shared" si="3"/>
        <v>78000</v>
      </c>
      <c r="I49" s="6">
        <f t="shared" si="4"/>
        <v>26000</v>
      </c>
    </row>
    <row r="50" spans="1:9" ht="14.5" x14ac:dyDescent="0.35">
      <c r="A50" s="2">
        <v>44502</v>
      </c>
      <c r="B50" t="s">
        <v>17</v>
      </c>
      <c r="C50" t="s">
        <v>15</v>
      </c>
      <c r="D50" t="s">
        <v>13</v>
      </c>
      <c r="E50" s="3">
        <v>60</v>
      </c>
      <c r="F50" s="4">
        <f t="shared" si="1"/>
        <v>3500</v>
      </c>
      <c r="G50" s="4">
        <f t="shared" si="2"/>
        <v>2500</v>
      </c>
      <c r="H50" s="4">
        <f t="shared" si="3"/>
        <v>210000</v>
      </c>
      <c r="I50" s="6">
        <f t="shared" si="4"/>
        <v>60000</v>
      </c>
    </row>
    <row r="51" spans="1:9" ht="14.5" x14ac:dyDescent="0.35">
      <c r="A51" s="2">
        <v>43958</v>
      </c>
      <c r="B51" t="s">
        <v>11</v>
      </c>
      <c r="C51" t="s">
        <v>12</v>
      </c>
      <c r="D51" t="s">
        <v>10</v>
      </c>
      <c r="E51" s="3">
        <v>73</v>
      </c>
      <c r="F51" s="4">
        <f t="shared" si="1"/>
        <v>6000</v>
      </c>
      <c r="G51" s="4">
        <f t="shared" si="2"/>
        <v>4000</v>
      </c>
      <c r="H51" s="4">
        <f t="shared" si="3"/>
        <v>438000</v>
      </c>
      <c r="I51" s="6">
        <f t="shared" si="4"/>
        <v>146000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1E9B-BD34-474E-ACA2-F2AE75362E4D}">
  <dimension ref="A1:K12"/>
  <sheetViews>
    <sheetView zoomScale="85" zoomScaleNormal="85" workbookViewId="0">
      <selection activeCell="E16" sqref="E16"/>
    </sheetView>
  </sheetViews>
  <sheetFormatPr defaultRowHeight="14.5" x14ac:dyDescent="0.35"/>
  <cols>
    <col min="1" max="1" width="13.1796875" bestFit="1" customWidth="1"/>
    <col min="2" max="2" width="16.36328125" bestFit="1" customWidth="1"/>
    <col min="4" max="4" width="13.1796875" bestFit="1" customWidth="1"/>
    <col min="5" max="5" width="16.36328125" bestFit="1" customWidth="1"/>
    <col min="7" max="7" width="13.1796875" bestFit="1" customWidth="1"/>
    <col min="8" max="8" width="16.36328125" bestFit="1" customWidth="1"/>
    <col min="10" max="10" width="13.1796875" bestFit="1" customWidth="1"/>
    <col min="11" max="11" width="15.81640625" bestFit="1" customWidth="1"/>
  </cols>
  <sheetData>
    <row r="1" spans="1:11" x14ac:dyDescent="0.35">
      <c r="A1" s="9" t="s">
        <v>34</v>
      </c>
      <c r="B1" t="s">
        <v>35</v>
      </c>
      <c r="D1" s="9" t="s">
        <v>34</v>
      </c>
      <c r="E1" t="s">
        <v>35</v>
      </c>
      <c r="G1" s="9" t="s">
        <v>34</v>
      </c>
      <c r="H1" t="s">
        <v>35</v>
      </c>
      <c r="J1" s="9" t="s">
        <v>34</v>
      </c>
      <c r="K1" t="s">
        <v>36</v>
      </c>
    </row>
    <row r="2" spans="1:11" x14ac:dyDescent="0.35">
      <c r="A2" s="3" t="s">
        <v>12</v>
      </c>
      <c r="B2" s="12">
        <v>3534400</v>
      </c>
      <c r="D2" s="3" t="s">
        <v>16</v>
      </c>
      <c r="E2" s="11">
        <v>547200</v>
      </c>
      <c r="G2" s="3" t="s">
        <v>8</v>
      </c>
      <c r="H2" s="12">
        <v>1591600</v>
      </c>
      <c r="J2" s="3" t="s">
        <v>16</v>
      </c>
      <c r="K2" s="10">
        <v>456</v>
      </c>
    </row>
    <row r="3" spans="1:11" x14ac:dyDescent="0.35">
      <c r="A3" s="3" t="s">
        <v>18</v>
      </c>
      <c r="B3" s="12">
        <v>2661400</v>
      </c>
      <c r="D3" s="3" t="s">
        <v>13</v>
      </c>
      <c r="E3" s="11">
        <v>2222500</v>
      </c>
      <c r="G3" s="3" t="s">
        <v>25</v>
      </c>
      <c r="H3" s="12">
        <v>677600</v>
      </c>
      <c r="J3" s="3" t="s">
        <v>13</v>
      </c>
      <c r="K3" s="10">
        <v>635</v>
      </c>
    </row>
    <row r="4" spans="1:11" x14ac:dyDescent="0.35">
      <c r="A4" s="3" t="s">
        <v>15</v>
      </c>
      <c r="B4" s="12">
        <v>2870600</v>
      </c>
      <c r="D4" s="3" t="s">
        <v>26</v>
      </c>
      <c r="E4" s="11">
        <v>706800</v>
      </c>
      <c r="G4" s="3" t="s">
        <v>17</v>
      </c>
      <c r="H4" s="12">
        <v>1957000</v>
      </c>
      <c r="J4" s="3" t="s">
        <v>26</v>
      </c>
      <c r="K4" s="10">
        <v>1178</v>
      </c>
    </row>
    <row r="5" spans="1:11" x14ac:dyDescent="0.35">
      <c r="A5" s="3" t="s">
        <v>9</v>
      </c>
      <c r="B5" s="12">
        <v>3878100</v>
      </c>
      <c r="D5" s="3" t="s">
        <v>19</v>
      </c>
      <c r="E5" s="11">
        <v>898000</v>
      </c>
      <c r="G5" s="3" t="s">
        <v>22</v>
      </c>
      <c r="H5" s="12">
        <v>1661400</v>
      </c>
      <c r="J5" s="3" t="s">
        <v>19</v>
      </c>
      <c r="K5" s="10">
        <v>898</v>
      </c>
    </row>
    <row r="6" spans="1:11" x14ac:dyDescent="0.35">
      <c r="A6" s="3" t="s">
        <v>30</v>
      </c>
      <c r="B6" s="12">
        <v>12944500</v>
      </c>
      <c r="D6" s="3" t="s">
        <v>28</v>
      </c>
      <c r="E6" s="11">
        <v>2350000</v>
      </c>
      <c r="G6" s="3" t="s">
        <v>24</v>
      </c>
      <c r="H6" s="12">
        <v>1741200</v>
      </c>
      <c r="J6" s="3" t="s">
        <v>28</v>
      </c>
      <c r="K6" s="10">
        <v>235</v>
      </c>
    </row>
    <row r="7" spans="1:11" x14ac:dyDescent="0.35">
      <c r="D7" s="3" t="s">
        <v>21</v>
      </c>
      <c r="E7" s="11">
        <v>3196000</v>
      </c>
      <c r="G7" s="3" t="s">
        <v>14</v>
      </c>
      <c r="H7" s="12">
        <v>1110000</v>
      </c>
      <c r="J7" s="3" t="s">
        <v>21</v>
      </c>
      <c r="K7" s="10">
        <v>799</v>
      </c>
    </row>
    <row r="8" spans="1:11" x14ac:dyDescent="0.35">
      <c r="D8" s="3" t="s">
        <v>10</v>
      </c>
      <c r="E8" s="11">
        <v>3024000</v>
      </c>
      <c r="G8" s="3" t="s">
        <v>11</v>
      </c>
      <c r="H8" s="12">
        <v>1777400</v>
      </c>
      <c r="J8" s="3" t="s">
        <v>10</v>
      </c>
      <c r="K8" s="10">
        <v>504</v>
      </c>
    </row>
    <row r="9" spans="1:11" x14ac:dyDescent="0.35">
      <c r="D9" s="3" t="s">
        <v>30</v>
      </c>
      <c r="E9" s="11">
        <v>12944500</v>
      </c>
      <c r="G9" s="3" t="s">
        <v>20</v>
      </c>
      <c r="H9" s="12">
        <v>1065400</v>
      </c>
      <c r="J9" s="3" t="s">
        <v>30</v>
      </c>
      <c r="K9" s="10">
        <v>4705</v>
      </c>
    </row>
    <row r="10" spans="1:11" x14ac:dyDescent="0.35">
      <c r="G10" s="3" t="s">
        <v>27</v>
      </c>
      <c r="H10" s="12">
        <v>784400</v>
      </c>
    </row>
    <row r="11" spans="1:11" x14ac:dyDescent="0.35">
      <c r="G11" s="3" t="s">
        <v>23</v>
      </c>
      <c r="H11" s="12">
        <v>578500</v>
      </c>
    </row>
    <row r="12" spans="1:11" x14ac:dyDescent="0.35">
      <c r="G12" s="3" t="s">
        <v>30</v>
      </c>
      <c r="H12" s="12">
        <v>12944500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64B82-B223-472B-94D2-BED38FF38E2D}">
  <dimension ref="A1"/>
  <sheetViews>
    <sheetView showGridLines="0" showRowColHeaders="0" tabSelected="1" zoomScale="55" zoomScaleNormal="55" workbookViewId="0">
      <selection activeCell="V12" sqref="V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Pivot_table</vt:lpstr>
      <vt:lpstr>Dashbaord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Harish kumar</cp:lastModifiedBy>
  <dcterms:created xsi:type="dcterms:W3CDTF">2024-05-30T14:35:02Z</dcterms:created>
  <dcterms:modified xsi:type="dcterms:W3CDTF">2025-07-17T03:53:31Z</dcterms:modified>
</cp:coreProperties>
</file>